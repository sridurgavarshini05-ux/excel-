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704B91-2653-4329-8ED1-ED71ED2D7299}" xr6:coauthVersionLast="47" xr6:coauthVersionMax="47" xr10:uidLastSave="{00000000-0000-0000-0000-000000000000}"/>
  <bookViews>
    <workbookView xWindow="7812" yWindow="0" windowWidth="15324" windowHeight="12336" firstSheet="9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  <pivotCaches>
    <pivotCache cacheId="2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 a="1"/>
  <c r="E8" i="11" a="1"/>
  <c r="E7" i="11" a="1"/>
  <c r="E6" i="11"/>
  <c r="E5" i="11" a="1"/>
  <c r="E9" i="10" a="1"/>
  <c r="E8" i="10"/>
  <c r="E7" i="10" a="1"/>
  <c r="E6" i="10" a="1"/>
  <c r="E5" i="10" a="1"/>
  <c r="P2" i="2"/>
  <c r="P3" i="2"/>
  <c r="P4" i="2"/>
  <c r="P5" i="2"/>
  <c r="P6" i="2"/>
  <c r="P7" i="2"/>
  <c r="P8" i="2"/>
  <c r="P9" i="2"/>
  <c r="O3" i="2"/>
  <c r="O2" i="2"/>
  <c r="O4" i="2"/>
  <c r="O5" i="2"/>
  <c r="O6" i="2"/>
  <c r="O7" i="2"/>
  <c r="O8" i="2"/>
  <c r="O9" i="2"/>
  <c r="S3" i="2"/>
  <c r="S2" i="2"/>
  <c r="S4" i="2"/>
  <c r="S5" i="2"/>
  <c r="S6" i="2"/>
  <c r="S7" i="2"/>
  <c r="S8" i="2"/>
  <c r="S9" i="2"/>
  <c r="N2" i="2"/>
  <c r="N3" i="2"/>
  <c r="N4" i="2"/>
  <c r="N5" i="2"/>
  <c r="N6" i="2"/>
  <c r="N7" i="2"/>
  <c r="N8" i="2"/>
  <c r="N9" i="2"/>
  <c r="Q2" i="2"/>
  <c r="Q3" i="2"/>
  <c r="Q4" i="2"/>
  <c r="Q5" i="2"/>
  <c r="Q6" i="2"/>
  <c r="Q7" i="2"/>
  <c r="Q8" i="2"/>
  <c r="Q9" i="2"/>
  <c r="R2" i="2"/>
  <c r="R3" i="2"/>
  <c r="R4" i="2"/>
  <c r="R5" i="2"/>
  <c r="R6" i="2"/>
  <c r="R7" i="2"/>
  <c r="R8" i="2"/>
  <c r="R9" i="2"/>
  <c r="M2" i="2"/>
  <c r="M3" i="2"/>
  <c r="M4" i="2"/>
  <c r="M5" i="2"/>
  <c r="M6" i="2"/>
  <c r="M7" i="2"/>
  <c r="M8" i="2"/>
  <c r="M9" i="2"/>
  <c r="E10" i="9" a="1"/>
  <c r="E9" i="9"/>
  <c r="E8" i="9" a="1"/>
  <c r="E7" i="9" a="1"/>
  <c r="E6" i="9"/>
  <c r="E5" i="9"/>
  <c r="E10" i="8"/>
  <c r="E9" i="8" a="1"/>
  <c r="E8" i="8" a="1"/>
  <c r="E7" i="8" a="1"/>
  <c r="E6" i="8" a="1"/>
  <c r="E5" i="8" a="1"/>
  <c r="E12" i="7"/>
  <c r="E11" i="7"/>
  <c r="E10" i="7"/>
  <c r="E9" i="7"/>
  <c r="E8" i="7"/>
  <c r="E7" i="7"/>
  <c r="E6" i="7"/>
  <c r="E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<sst xmlns="http://schemas.openxmlformats.org/spreadsheetml/2006/main" count="13853" uniqueCount="3033">
  <si>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</si>
  <si>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</si>
  <si>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</si>
  <si>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</si>
  <si>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</si>
  <si>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</si>
  <si>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</si>
  <si>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</si>
  <si>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</si>
  <si>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</si>
  <si>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</si>
  <si>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</si>
  <si>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</si>
  <si>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</si>
  <si>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</si>
  <si>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</si>
  <si>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</si>
  <si>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</si>
  <si>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</si>
  <si>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</si>
  <si>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</si>
  <si>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</si>
  <si>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</si>
  <si>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</si>
  <si>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</si>
  <si>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</si>
  <si>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</si>
  <si>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</si>
  <si>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</si>
  <si>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</si>
  <si>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</si>
  <si>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</si>
  <si>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</si>
  <si>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</si>
  <si>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</si>
  <si>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</si>
  <si>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</si>
  <si>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</si>
  <si>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</si>
  <si>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</si>
  <si>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</si>
  <si>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</si>
  <si>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</si>
  <si>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</si>
  <si>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</si>
  <si>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</si>
  <si>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</si>
  <si>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</si>
  <si>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</si>
  <si>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</si>
  <si>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</si>
  <si>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</si>
  <si>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</si>
  <si>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</si>
  <si>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</si>
  <si>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</si>
  <si>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</si>
  <si>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</si>
  <si>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</si>
  <si>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</si>
  <si>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</si>
  <si>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</si>
  <si>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</si>
  <si>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</si>
  <si>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</si>
  <si>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</si>
  <si>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</si>
  <si>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</si>
  <si>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</si>
  <si>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</si>
  <si>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</si>
  <si>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</si>
  <si>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</si>
  <si>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</si>
  <si>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</si>
  <si>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</si>
  <si>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</si>
  <si>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</si>
  <si>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</si>
  <si>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</si>
  <si>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</si>
  <si>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</si>
  <si>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</si>
  <si>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</si>
  <si>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</si>
  <si>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</si>
  <si>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</si>
  <si>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</si>
  <si>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</si>
  <si>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</si>
  <si>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</si>
  <si>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</si>
  <si>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</si>
  <si>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</si>
  <si>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</si>
  <si>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</si>
  <si>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</si>
  <si>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</si>
  <si>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</si>
  <si>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</si>
  <si>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</si>
  <si>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</si>
  <si>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</si>
  <si>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</si>
  <si>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</si>
  <si>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</si>
  <si>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</si>
  <si>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</si>
  <si>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</si>
  <si>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</si>
  <si>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</si>
  <si>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</si>
  <si>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</si>
  <si>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</si>
  <si>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</si>
  <si>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</si>
  <si>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</si>
  <si>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</si>
  <si>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</si>
  <si>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</si>
  <si>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</si>
  <si>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</si>
  <si>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</si>
  <si>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</si>
  <si>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</si>
  <si>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</si>
  <si>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</si>
  <si>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</si>
  <si>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</si>
  <si>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</si>
  <si>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</si>
  <si>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</si>
  <si>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</si>
  <si>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</si>
  <si>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</si>
  <si>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</si>
  <si>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</si>
  <si>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</si>
  <si>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</si>
  <si>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</si>
  <si>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</si>
  <si>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</si>
  <si>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</si>
  <si>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</si>
  <si>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</si>
  <si>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</si>
  <si>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</si>
  <si>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</si>
  <si>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</si>
  <si>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</si>
  <si>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</si>
  <si>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</si>
  <si>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</si>
  <si>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</si>
  <si>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</si>
  <si>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</si>
  <si>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</si>
  <si>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</si>
  <si>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</si>
  <si>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</si>
  <si>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</si>
  <si>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</si>
  <si>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</si>
  <si>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</si>
  <si>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</si>
  <si>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</si>
  <si>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</si>
  <si>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</si>
  <si>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</si>
  <si>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</si>
  <si>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</si>
  <si>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</si>
  <si>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</si>
  <si>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</si>
  <si>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</si>
  <si>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</si>
  <si>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</si>
  <si>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</si>
  <si>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</si>
  <si>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</si>
  <si>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</si>
  <si>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</si>
  <si>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</si>
  <si>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</si>
  <si>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</si>
  <si>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</si>
  <si>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</si>
  <si>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</si>
  <si>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</si>
  <si>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</si>
  <si>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</si>
  <si>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</si>
  <si>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</si>
  <si>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</si>
  <si>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</si>
  <si>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</si>
  <si>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</si>
  <si>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</si>
  <si>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</si>
  <si>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</si>
  <si>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</si>
  <si>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</si>
  <si>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</si>
  <si>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</si>
  <si>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</si>
  <si>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</si>
  <si>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</si>
  <si>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</si>
  <si>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</si>
  <si>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</si>
  <si>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</si>
  <si>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</si>
  <si>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</si>
  <si>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</si>
  <si>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</si>
  <si>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</si>
  <si>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</si>
  <si>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</si>
  <si>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</si>
  <si>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</si>
  <si>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</si>
  <si>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</si>
  <si>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</si>
  <si>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</si>
  <si>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</si>
  <si>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</si>
  <si>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</si>
  <si>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</si>
  <si>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</si>
  <si>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</si>
  <si>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</si>
  <si>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</si>
  <si>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</si>
  <si>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</si>
  <si>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</si>
  <si>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</si>
  <si>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</si>
  <si>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</si>
  <si>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</si>
  <si>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</si>
  <si>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</si>
  <si>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</si>
  <si>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</si>
  <si>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</si>
  <si>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</si>
  <si>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</si>
  <si>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</si>
  <si>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</si>
  <si>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</si>
  <si>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</si>
  <si>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</si>
  <si>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</si>
  <si>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</si>
  <si>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</si>
  <si>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</si>
  <si>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</si>
  <si>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</si>
  <si>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</si>
  <si>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</si>
  <si>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</si>
  <si>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</si>
  <si>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</si>
  <si>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</si>
  <si>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</si>
  <si>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</si>
  <si>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</si>
  <si>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</si>
  <si>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</si>
  <si>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</si>
  <si>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</si>
  <si>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</si>
  <si>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</si>
  <si>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</si>
  <si>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</si>
  <si>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</si>
  <si>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</si>
  <si>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</si>
  <si>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</si>
  <si>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</si>
  <si>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</si>
  <si>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</si>
  <si>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</si>
  <si>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</si>
  <si>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</si>
  <si>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</si>
  <si>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</si>
  <si>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</si>
  <si>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</si>
  <si>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</si>
  <si>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</si>
  <si>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</si>
  <si>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</si>
  <si>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</si>
  <si>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</si>
  <si>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</si>
  <si>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</si>
  <si>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</si>
  <si>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</si>
  <si>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</si>
  <si>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</si>
  <si>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</si>
  <si>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</si>
  <si>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</si>
  <si>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</si>
  <si>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</si>
  <si>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</si>
  <si>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</si>
  <si>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</si>
  <si>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</si>
  <si>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</si>
  <si>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</si>
  <si>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</si>
  <si>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</si>
  <si>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</si>
  <si>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</si>
  <si>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</si>
  <si>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</si>
  <si>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</si>
  <si>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</si>
  <si>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</si>
  <si>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</si>
  <si>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</si>
  <si>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</si>
  <si>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</si>
  <si>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</si>
  <si>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</si>
  <si>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</si>
  <si>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</si>
  <si>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</si>
  <si>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</si>
  <si>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</si>
  <si>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</si>
  <si>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</si>
  <si>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</si>
  <si>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</si>
  <si>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</si>
  <si>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</si>
  <si>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</si>
  <si>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</si>
  <si>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</si>
  <si>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</si>
  <si>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</si>
  <si>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</si>
  <si>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</si>
  <si>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</si>
  <si>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</si>
  <si>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</si>
  <si>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</si>
  <si>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</si>
  <si>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</si>
  <si>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</si>
  <si>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</si>
  <si>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</si>
  <si>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</si>
  <si>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</si>
  <si>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</si>
  <si>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</si>
  <si>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</si>
  <si>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</si>
  <si>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</si>
  <si>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</si>
  <si>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</si>
  <si>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</si>
  <si>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</si>
  <si>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</si>
  <si>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</si>
  <si>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</si>
  <si>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</si>
  <si>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</si>
  <si>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</si>
  <si>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</si>
  <si>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</si>
  <si>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</si>
  <si>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</si>
  <si>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</si>
  <si>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</si>
  <si>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</si>
  <si>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</si>
  <si>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</si>
  <si>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</si>
  <si>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</si>
  <si>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</si>
  <si>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</si>
  <si>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</si>
  <si>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</si>
  <si>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</si>
  <si>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</si>
  <si>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</si>
  <si>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</si>
  <si>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</si>
  <si>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</si>
  <si>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</si>
  <si>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</si>
  <si>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</si>
  <si>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</si>
  <si>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</si>
  <si>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</si>
  <si>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</si>
  <si>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</si>
  <si>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</si>
  <si>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</si>
  <si>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</si>
  <si>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</si>
  <si>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</si>
  <si>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</si>
  <si>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</si>
  <si>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</si>
  <si>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</si>
  <si>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</si>
  <si>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</si>
  <si>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</si>
  <si>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</si>
  <si>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</si>
  <si>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</si>
  <si>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</si>
  <si>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</si>
  <si>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</si>
  <si>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</si>
  <si>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</si>
  <si>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</si>
  <si>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</si>
  <si>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</si>
  <si>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</si>
  <si>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</si>
  <si>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</si>
  <si>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</si>
  <si>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</si>
  <si>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</si>
  <si>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</si>
  <si>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</si>
  <si>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</si>
  <si>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</si>
  <si>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</si>
  <si>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</si>
  <si>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</si>
  <si>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</si>
  <si>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</si>
  <si>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</si>
  <si>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</si>
  <si>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</si>
  <si>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</si>
  <si>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</si>
  <si>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</si>
  <si>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</si>
  <si>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</si>
  <si>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</si>
  <si>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</si>
  <si>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</si>
  <si>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</si>
  <si>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</si>
  <si>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</si>
  <si>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</si>
  <si>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</si>
  <si>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</si>
  <si>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</si>
  <si>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</si>
  <si>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</si>
  <si>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</si>
  <si>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</si>
  <si>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</si>
  <si>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</si>
  <si>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</si>
  <si>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</si>
  <si>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</si>
  <si>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</si>
  <si>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</si>
  <si>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</si>
  <si>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</si>
  <si>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</si>
  <si>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</si>
  <si>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</si>
  <si>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</si>
  <si>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</si>
  <si>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</si>
  <si>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</si>
  <si>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</si>
  <si>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</si>
  <si>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</si>
  <si>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</si>
  <si>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</si>
  <si>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</si>
  <si>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</si>
  <si>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</si>
  <si>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</si>
  <si>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</si>
  <si>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</si>
  <si>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</si>
  <si>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</si>
  <si>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</si>
  <si>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</si>
  <si>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</si>
  <si>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</si>
  <si>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</si>
  <si>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</si>
  <si>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</si>
  <si>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</si>
  <si>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</si>
  <si>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</si>
  <si>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</si>
  <si>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</si>
  <si>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</si>
  <si>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</si>
  <si>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</si>
  <si>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</si>
  <si>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</si>
  <si>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</si>
  <si>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</si>
  <si>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</si>
  <si>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</si>
  <si>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</si>
  <si>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</si>
  <si>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</si>
  <si>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</si>
  <si>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</si>
  <si>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</si>
  <si>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</si>
  <si>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</si>
  <si>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</si>
  <si>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</si>
  <si>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</si>
  <si>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</si>
  <si>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</si>
  <si>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</si>
  <si>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</si>
  <si>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</si>
  <si>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</si>
  <si>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</si>
  <si>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</si>
  <si>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</si>
  <si>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</si>
  <si>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</si>
  <si>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</si>
  <si>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</si>
  <si>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</si>
  <si>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</si>
  <si>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</si>
  <si>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</si>
  <si>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</si>
  <si>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</si>
  <si>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</si>
  <si>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</si>
  <si>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</si>
  <si>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</si>
  <si>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</si>
  <si>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</si>
  <si>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</si>
  <si>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</si>
  <si>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</si>
  <si>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</si>
  <si>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</si>
  <si>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</si>
  <si>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</si>
  <si>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</si>
  <si>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</si>
  <si>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</si>
  <si>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</si>
  <si>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</si>
  <si>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</si>
  <si>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</si>
  <si>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</si>
  <si>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</si>
  <si>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</si>
  <si>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</si>
  <si>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</si>
  <si>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</si>
  <si>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</si>
  <si>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</si>
  <si>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</si>
  <si>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</si>
  <si>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</si>
  <si>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</si>
  <si>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</si>
  <si>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</si>
  <si>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</si>
  <si>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</si>
  <si>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</si>
  <si>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</si>
  <si>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</si>
  <si>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</si>
  <si>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</si>
  <si>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</si>
  <si>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</si>
  <si>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</si>
  <si>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</si>
  <si>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</si>
  <si>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</si>
  <si>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</si>
  <si>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</si>
  <si>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</si>
  <si>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</si>
  <si>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</si>
  <si>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</si>
  <si>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</si>
  <si>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</si>
  <si>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</si>
  <si>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</si>
  <si>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</si>
  <si>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</si>
  <si>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</si>
  <si>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</si>
  <si>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</si>
  <si>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</si>
  <si>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</si>
  <si>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</si>
  <si>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</si>
  <si>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</si>
  <si>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</si>
  <si>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</si>
  <si>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</si>
  <si>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</si>
  <si>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</si>
  <si>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</si>
  <si>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</si>
  <si>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</si>
  <si>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</si>
  <si>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</si>
  <si>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</si>
  <si>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</si>
  <si>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</si>
  <si>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</si>
  <si>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</si>
  <si>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</si>
  <si>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</si>
  <si>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</si>
  <si>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</si>
  <si>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</si>
  <si>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</si>
  <si>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</si>
  <si>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</si>
  <si>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</si>
  <si>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</si>
  <si>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</si>
  <si>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</si>
  <si>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</si>
  <si>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</si>
  <si>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</si>
  <si>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</si>
  <si>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</si>
  <si>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</si>
  <si>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</si>
  <si>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</si>
  <si>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</si>
  <si>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</si>
  <si>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</si>
  <si>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</si>
  <si>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</si>
  <si>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</si>
  <si>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</si>
  <si>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</si>
  <si>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</si>
  <si>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</si>
  <si>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</si>
  <si>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</si>
  <si>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</si>
  <si>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</si>
  <si>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</si>
  <si>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</si>
  <si>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</si>
  <si>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</si>
  <si>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</si>
  <si>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</si>
  <si>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</si>
  <si>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</si>
  <si>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</si>
  <si>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</si>
  <si>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</si>
  <si>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</si>
  <si>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</si>
  <si>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</si>
  <si>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</si>
  <si>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</si>
  <si>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</si>
  <si>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</si>
  <si>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</si>
  <si>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</si>
  <si>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</si>
  <si>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</si>
  <si>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</si>
  <si>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</si>
  <si>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</si>
  <si>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</si>
  <si>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</si>
  <si>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</si>
  <si>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</si>
  <si>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</si>
  <si>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</si>
  <si>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</si>
  <si>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</si>
  <si>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</si>
  <si>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</si>
  <si>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</si>
  <si>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</si>
  <si>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</si>
  <si>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</si>
  <si>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</si>
  <si>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</si>
  <si>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</si>
  <si>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</si>
  <si>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</si>
  <si>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</si>
  <si>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</si>
  <si>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</si>
  <si>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</si>
  <si>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</si>
  <si>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</si>
  <si>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</si>
  <si>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</si>
  <si>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</si>
  <si>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</si>
  <si>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</si>
  <si>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</si>
  <si>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</si>
  <si>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</si>
  <si>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</si>
  <si>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</si>
  <si>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</si>
  <si>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</si>
  <si>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</si>
  <si>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</si>
  <si>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</si>
  <si>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</si>
  <si>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</si>
  <si>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</si>
  <si>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</si>
  <si>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</si>
  <si>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</si>
  <si>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</si>
  <si>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</si>
  <si>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</si>
  <si>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</si>
  <si>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</si>
  <si>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</si>
  <si>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</si>
  <si>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</si>
  <si>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</si>
  <si>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</si>
  <si>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</si>
  <si>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</si>
  <si>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</si>
  <si>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</si>
  <si>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</si>
  <si>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</si>
  <si>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</si>
  <si>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</si>
  <si>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</si>
  <si>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</si>
  <si>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</si>
  <si>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</si>
  <si>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</si>
  <si>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</si>
  <si>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</si>
  <si>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</si>
  <si>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</si>
  <si>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</si>
  <si>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</si>
  <si>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</si>
  <si>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</si>
  <si>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</si>
  <si>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</si>
  <si>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</si>
  <si>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</si>
  <si>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</si>
  <si>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</si>
  <si>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</si>
  <si>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</si>
  <si>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</si>
  <si>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</si>
  <si>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</si>
  <si>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</si>
  <si>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</si>
  <si>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</si>
  <si>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</si>
  <si>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</si>
  <si>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</si>
  <si>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</si>
  <si>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</si>
  <si>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</si>
  <si>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</si>
  <si>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</si>
  <si>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</si>
  <si>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</si>
  <si>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</si>
  <si>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</si>
  <si>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</si>
  <si>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</si>
  <si>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</si>
  <si>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</si>
  <si>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</si>
  <si>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</si>
  <si>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</si>
  <si>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</si>
  <si>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</si>
  <si>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</si>
  <si>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</si>
  <si>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</si>
  <si>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</si>
  <si>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</si>
  <si>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</si>
  <si>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</si>
  <si>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</si>
  <si>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</si>
  <si>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</si>
  <si>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</si>
  <si>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</si>
  <si>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</si>
  <si>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</si>
  <si>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</si>
  <si>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</si>
  <si>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</si>
  <si>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</si>
  <si>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</si>
  <si>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</si>
  <si>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</si>
  <si>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</si>
  <si>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</si>
  <si>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</si>
  <si>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</si>
  <si>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</si>
  <si>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</si>
  <si>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</si>
  <si>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</si>
  <si>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</si>
  <si>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</si>
  <si>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</si>
  <si>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</si>
  <si>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</si>
  <si>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</si>
  <si>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</si>
  <si>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</si>
  <si>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</si>
  <si>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</si>
  <si>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</si>
  <si>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</si>
  <si>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</si>
  <si>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</si>
  <si>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</si>
  <si>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</si>
  <si>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</si>
  <si>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</si>
  <si>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</si>
  <si>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</si>
  <si>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</si>
  <si>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</si>
  <si>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</si>
  <si>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</si>
  <si>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</si>
  <si>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</si>
  <si>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</si>
  <si>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</si>
  <si>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</si>
  <si>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</si>
  <si>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</si>
  <si>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</si>
  <si>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</si>
  <si>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</si>
  <si>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</si>
  <si>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</si>
  <si>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</si>
  <si>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</si>
  <si>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</si>
  <si>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</si>
  <si>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</si>
  <si>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</si>
  <si>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</si>
  <si>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</si>
  <si>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</si>
  <si>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</si>
  <si>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</si>
  <si>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</si>
  <si>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</si>
  <si>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</si>
  <si>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</si>
  <si>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</si>
  <si>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</si>
  <si>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</si>
  <si>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</si>
  <si>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</si>
  <si>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</si>
  <si>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</si>
  <si>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</si>
  <si>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</si>
  <si>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</si>
  <si>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</si>
  <si>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</si>
  <si>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</si>
  <si>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</si>
  <si>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</si>
  <si>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</si>
  <si>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</si>
  <si>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</si>
  <si>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</si>
  <si>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</si>
  <si>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</si>
  <si>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</si>
  <si>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</si>
  <si>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</si>
  <si>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</si>
  <si>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</si>
  <si>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</si>
  <si>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</si>
  <si>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</si>
  <si>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</si>
  <si>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</si>
  <si>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</si>
  <si>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</si>
  <si>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</si>
  <si>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</si>
  <si>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</si>
  <si>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</si>
  <si>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</si>
  <si>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</si>
  <si>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</si>
  <si>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</si>
  <si>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</si>
  <si>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</si>
  <si>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</si>
  <si>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</si>
  <si>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</si>
  <si>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</si>
  <si>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</si>
  <si>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</si>
  <si>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</si>
  <si>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</si>
  <si>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</si>
  <si>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</si>
  <si>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</si>
  <si>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</si>
  <si>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</si>
  <si>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</si>
  <si>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</si>
  <si>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</si>
  <si>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</si>
  <si>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</si>
  <si>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</si>
  <si>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</si>
  <si>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</si>
  <si>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</si>
  <si>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</si>
  <si>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</si>
  <si>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</si>
  <si>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</si>
  <si>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</si>
  <si>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</si>
  <si>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</si>
  <si>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</si>
  <si>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</si>
  <si>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</si>
  <si>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</si>
  <si>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</si>
  <si>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</si>
  <si>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</si>
  <si>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</si>
  <si>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</si>
  <si>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</si>
  <si>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</si>
  <si>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</si>
  <si>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</si>
  <si>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</si>
  <si>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</si>
  <si>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</si>
  <si>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</si>
  <si>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</si>
  <si>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</si>
  <si>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</si>
  <si>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</si>
  <si>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</si>
  <si>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</si>
  <si>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</si>
  <si>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</si>
  <si>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</si>
  <si>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</si>
  <si>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</si>
  <si>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</si>
  <si>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</si>
  <si>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</si>
  <si>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</si>
  <si>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</si>
  <si>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</si>
  <si>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</si>
  <si>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</si>
  <si>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</si>
  <si>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</si>
  <si>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</si>
  <si>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</si>
  <si>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</si>
  <si>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</si>
  <si>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</si>
  <si>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</si>
  <si>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</si>
  <si>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</si>
  <si>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</si>
  <si>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</si>
  <si>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</si>
  <si>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</si>
  <si>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</si>
  <si>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</si>
  <si>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</si>
  <si>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</si>
  <si>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</si>
  <si>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</si>
  <si>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</si>
  <si>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</si>
  <si>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</si>
  <si>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</si>
  <si>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</si>
  <si>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</si>
  <si>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</si>
  <si>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</si>
  <si>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</si>
  <si>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</si>
  <si>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</si>
  <si>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</si>
  <si>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</si>
  <si>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</si>
  <si>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</si>
  <si>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</si>
  <si>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</si>
  <si>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</si>
  <si>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</si>
  <si>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</si>
  <si>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</si>
  <si>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</si>
  <si>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</si>
  <si>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</si>
  <si>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</si>
  <si>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</si>
  <si>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</si>
  <si>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</si>
  <si>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</si>
  <si>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</si>
  <si>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</si>
  <si>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</si>
  <si>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</si>
  <si>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</si>
  <si>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</si>
  <si>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</si>
  <si>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</si>
  <si>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</si>
  <si>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</si>
  <si>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</si>
  <si>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</si>
  <si>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</si>
  <si>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</si>
  <si>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</si>
  <si>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</si>
  <si>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</si>
  <si>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</si>
  <si>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</si>
  <si>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</si>
  <si>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</si>
  <si>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</si>
  <si>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</si>
  <si>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</si>
  <si>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</si>
  <si>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</si>
  <si>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</si>
  <si>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</si>
  <si>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</si>
  <si>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</si>
  <si>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</si>
  <si>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</si>
  <si>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</si>
  <si>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</si>
  <si>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</si>
  <si>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</si>
  <si>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</si>
  <si>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</si>
  <si>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</si>
  <si>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</si>
  <si>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</si>
  <si>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</si>
  <si>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</si>
  <si>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</si>
  <si>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</si>
  <si>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</si>
  <si>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</si>
  <si>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</si>
  <si>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</si>
  <si>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</si>
  <si>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</si>
  <si>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</si>
  <si>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</si>
  <si>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</si>
  <si>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</si>
  <si>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</si>
  <si>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</si>
  <si>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</si>
  <si>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</si>
  <si>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</si>
  <si>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</si>
  <si>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</si>
  <si>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</si>
  <si>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</si>
  <si>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</si>
  <si>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</si>
  <si>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</si>
  <si>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</si>
  <si>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</si>
  <si>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</si>
  <si>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</si>
  <si>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</si>
  <si>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</si>
  <si>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</si>
  <si>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</si>
  <si>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</si>
  <si>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</si>
  <si>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</si>
  <si>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</si>
  <si>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</si>
  <si>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</si>
  <si>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</si>
  <si>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</si>
  <si>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</si>
  <si>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</si>
  <si>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</si>
  <si>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</si>
  <si>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</si>
  <si>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</si>
  <si>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</si>
  <si>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</si>
  <si>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</si>
  <si>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</si>
  <si>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</si>
  <si>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</si>
  <si>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</si>
  <si>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</si>
  <si>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</si>
  <si>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</si>
  <si>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</si>
  <si>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</si>
  <si>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</si>
  <si>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</si>
  <si>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</si>
  <si>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</si>
  <si>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</si>
  <si>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</si>
  <si>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</si>
  <si>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</si>
  <si>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</si>
  <si>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</si>
  <si>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</si>
  <si>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</si>
  <si>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</si>
  <si>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</si>
  <si>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</si>
  <si>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</si>
  <si>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</si>
  <si>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</si>
  <si>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</si>
  <si>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</si>
  <si>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</si>
  <si>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</si>
  <si>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</si>
  <si>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</si>
  <si>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</si>
  <si>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</si>
  <si>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</si>
  <si>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</si>
  <si>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</si>
  <si>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</si>
  <si>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</si>
  <si>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</si>
  <si>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</si>
  <si>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</si>
  <si>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</si>
  <si>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</si>
  <si>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</si>
  <si>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</si>
  <si>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</si>
  <si>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</si>
  <si>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</si>
  <si>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</si>
  <si>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</si>
  <si>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</si>
  <si>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</si>
  <si>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</si>
  <si>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</si>
  <si>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</si>
  <si>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</si>
  <si>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</si>
  <si>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</si>
  <si>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</si>
  <si>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</si>
  <si>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</si>
  <si>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</si>
  <si>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</si>
  <si>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</si>
  <si>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</si>
  <si>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</si>
  <si>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</si>
  <si>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</si>
  <si>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</si>
  <si>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</si>
  <si>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</si>
  <si>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</si>
  <si>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</si>
  <si>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</si>
  <si>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</si>
  <si>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</si>
  <si>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</si>
  <si>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</si>
  <si>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</si>
  <si>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</si>
  <si>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</si>
  <si>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</si>
  <si>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</si>
  <si>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</si>
  <si>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</si>
  <si>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</si>
  <si>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</si>
  <si>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</si>
  <si>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</si>
  <si>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</si>
  <si>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</si>
  <si>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</si>
  <si>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</si>
  <si>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</si>
  <si>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</si>
  <si>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</si>
  <si>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</si>
  <si>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</si>
  <si>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</si>
  <si>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</si>
  <si>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</si>
  <si>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</si>
  <si>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</si>
  <si>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</si>
  <si>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</si>
  <si>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</si>
  <si>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</si>
  <si>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</si>
  <si>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</si>
  <si>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</si>
  <si>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</si>
  <si>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</si>
  <si>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</si>
  <si>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</si>
  <si>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</si>
  <si>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</si>
  <si>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</si>
  <si>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</si>
  <si>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</si>
  <si>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</si>
  <si>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</si>
  <si>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</si>
  <si>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</si>
  <si>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</si>
  <si>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</si>
  <si>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</si>
  <si>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</si>
  <si>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</si>
  <si>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</si>
  <si>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</si>
  <si>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</si>
  <si>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</si>
  <si>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</si>
  <si>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</si>
  <si>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</si>
  <si>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</si>
  <si>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</si>
  <si>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</si>
  <si>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</si>
  <si>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</si>
  <si>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</si>
  <si>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</si>
  <si>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</si>
  <si>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</si>
  <si>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</si>
  <si>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</si>
  <si>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</si>
  <si>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</si>
  <si>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</si>
  <si>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</si>
  <si>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</si>
  <si>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</si>
  <si>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</si>
  <si>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</si>
  <si>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</si>
  <si>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</si>
  <si>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</si>
  <si>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</si>
  <si>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</si>
  <si>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</si>
  <si>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</si>
  <si>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</si>
  <si>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</si>
  <si>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</si>
  <si>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</si>
  <si>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</si>
  <si>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</si>
  <si>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</si>
  <si>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</si>
  <si>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</si>
  <si>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</si>
  <si>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</si>
  <si>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</si>
  <si>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</si>
  <si>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</si>
  <si>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</si>
  <si>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</si>
  <si>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</si>
  <si>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</si>
  <si>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</si>
  <si>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</si>
  <si>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</si>
  <si>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</si>
  <si>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</si>
  <si>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</si>
  <si>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</si>
  <si>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</si>
  <si>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</si>
  <si>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</si>
  <si>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</si>
  <si>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</si>
  <si>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</si>
  <si>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</si>
  <si>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</si>
  <si>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</si>
  <si>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</si>
  <si>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</si>
  <si>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</si>
  <si>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</si>
  <si>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</si>
  <si>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</si>
  <si>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</si>
  <si>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</si>
  <si>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</si>
  <si>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</si>
  <si>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</si>
  <si>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</si>
  <si>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</si>
  <si>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</si>
  <si>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</si>
  <si>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</si>
  <si>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</si>
  <si>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</si>
  <si>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</si>
  <si>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</si>
  <si>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</si>
  <si>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</si>
  <si>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</si>
  <si>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</si>
  <si>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</si>
  <si>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</si>
  <si>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</si>
  <si>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</si>
  <si>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</si>
  <si>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</si>
  <si>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</si>
  <si>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</si>
  <si>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</si>
  <si>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</si>
  <si>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</si>
  <si>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</si>
  <si>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</si>
  <si>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</si>
  <si>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</si>
  <si>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</si>
  <si>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</si>
  <si>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</si>
  <si>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</si>
  <si>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</si>
  <si>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</si>
  <si>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</si>
  <si>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</si>
  <si>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</si>
  <si>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</si>
  <si>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</si>
  <si>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</si>
  <si>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</si>
  <si>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</si>
  <si>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</si>
  <si>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</si>
  <si>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</si>
  <si>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</si>
  <si>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</si>
  <si>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</si>
  <si>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</si>
  <si>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</si>
  <si>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</si>
  <si>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</si>
  <si>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</si>
  <si>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</si>
  <si>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</si>
  <si>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</si>
  <si>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</si>
  <si>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</si>
  <si>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</si>
  <si>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</si>
  <si>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</si>
  <si>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</si>
  <si>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</si>
  <si>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</si>
  <si>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</si>
  <si>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</si>
  <si>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</si>
  <si>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</si>
  <si>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</si>
  <si>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</si>
  <si>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</si>
  <si>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</si>
  <si>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</si>
  <si>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</si>
  <si>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</si>
  <si>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</si>
  <si>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</si>
  <si>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</si>
  <si>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</si>
  <si>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</si>
  <si>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</si>
  <si>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</si>
  <si>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</si>
  <si>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</si>
  <si>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</si>
  <si>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</si>
  <si>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</si>
  <si>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</si>
  <si>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</si>
  <si>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</si>
  <si>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</si>
  <si>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</si>
  <si>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</si>
  <si>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</si>
  <si>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</si>
  <si>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</si>
  <si>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</si>
  <si>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</si>
  <si>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</si>
  <si>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</si>
  <si>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</si>
  <si>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</si>
  <si>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</si>
  <si>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</si>
  <si>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</si>
  <si>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</si>
  <si>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</si>
  <si>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</si>
  <si>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</si>
  <si>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</si>
  <si>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</si>
  <si>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</si>
  <si>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</si>
  <si>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</si>
  <si>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</si>
  <si>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</si>
  <si>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</si>
  <si>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</si>
  <si>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</si>
  <si>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</si>
  <si>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</si>
  <si>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</si>
  <si>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</si>
  <si>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</si>
  <si>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</si>
  <si>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</si>
  <si>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</si>
  <si>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</si>
  <si>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</si>
  <si>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</si>
  <si>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</si>
  <si>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</si>
  <si>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</si>
  <si>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</si>
  <si>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</si>
  <si>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</si>
  <si>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</si>
  <si>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</si>
  <si>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</si>
  <si>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</si>
  <si>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</si>
  <si>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</si>
  <si>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</si>
  <si>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</si>
  <si>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</si>
  <si>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</si>
  <si>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</si>
  <si>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</si>
  <si>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</si>
  <si>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</si>
  <si>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</si>
  <si>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</si>
  <si>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</si>
  <si>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</si>
  <si>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</si>
  <si>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</si>
  <si>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</si>
  <si>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</si>
  <si>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</si>
  <si>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</si>
  <si>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</si>
  <si>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</si>
  <si>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</si>
  <si>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</si>
  <si>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</si>
  <si>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</si>
  <si>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</si>
  <si>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</si>
  <si>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</si>
  <si>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</si>
  <si>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</si>
  <si>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</si>
  <si>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</si>
  <si>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</si>
  <si>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</si>
  <si>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</si>
  <si>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</si>
  <si>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</si>
  <si>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</si>
  <si>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</si>
  <si>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</si>
  <si>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</si>
  <si>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</si>
  <si>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</si>
  <si>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</si>
  <si>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</si>
  <si>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</si>
  <si>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</si>
  <si>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</si>
  <si>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</si>
  <si>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</si>
  <si>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</si>
  <si>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</si>
  <si>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</si>
  <si>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</si>
  <si>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</si>
  <si>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</si>
  <si>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</si>
  <si>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</si>
  <si>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</si>
  <si>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</si>
  <si>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</si>
  <si>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</si>
  <si>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</si>
  <si>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</si>
  <si>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</si>
  <si>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</si>
  <si>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</si>
  <si>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</si>
  <si>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</si>
  <si>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</si>
  <si>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</si>
  <si>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</si>
  <si>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</si>
  <si>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</si>
  <si>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</si>
  <si>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</si>
  <si>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</si>
  <si>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</si>
  <si>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</si>
  <si>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</si>
  <si>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</si>
  <si>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</si>
  <si>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</si>
  <si>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</si>
  <si>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</si>
  <si>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</si>
  <si>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</si>
  <si>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</si>
  <si>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</si>
  <si>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</si>
  <si>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</si>
  <si>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</si>
  <si>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</si>
  <si>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</si>
  <si>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</si>
  <si>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</si>
  <si>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</si>
  <si>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</si>
  <si>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</si>
  <si>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</si>
  <si>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</si>
  <si>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</si>
  <si>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</si>
  <si>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</si>
  <si>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</si>
  <si>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</si>
  <si>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</si>
  <si>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</si>
  <si>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</si>
  <si>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</si>
  <si>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</si>
  <si>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</si>
  <si>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</si>
  <si>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</si>
  <si>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</si>
  <si>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</si>
  <si>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</si>
  <si>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</si>
  <si>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</si>
  <si>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</si>
  <si>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</si>
  <si>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</si>
  <si>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</si>
  <si>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</si>
  <si>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</si>
  <si>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</si>
  <si>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</si>
  <si>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</si>
  <si>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</si>
  <si>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</si>
  <si>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</si>
  <si>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</si>
  <si>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</si>
  <si>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</si>
  <si>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</si>
  <si>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</si>
  <si>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</si>
  <si>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</si>
  <si>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</si>
  <si>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</si>
  <si>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</si>
  <si>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</si>
  <si>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</si>
  <si>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</si>
  <si>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</si>
  <si>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</si>
  <si>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</si>
  <si>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</si>
  <si>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</si>
  <si>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</si>
  <si>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</si>
  <si>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</si>
  <si>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</si>
  <si>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</si>
  <si>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</si>
  <si>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</si>
  <si>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</si>
  <si>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</si>
  <si>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</si>
  <si>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</si>
  <si>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</si>
  <si>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</si>
  <si>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</si>
  <si>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</si>
  <si>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</si>
  <si>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</si>
  <si>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</si>
  <si>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</si>
  <si>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</si>
  <si>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</si>
  <si>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</si>
  <si>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</si>
  <si>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</si>
  <si>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</si>
  <si>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</si>
  <si>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</si>
  <si>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</si>
  <si>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</si>
  <si>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</si>
  <si>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</si>
  <si>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</si>
  <si>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</si>
  <si>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</si>
  <si>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</si>
  <si>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</si>
  <si>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</si>
  <si>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</si>
  <si>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</si>
  <si>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</si>
  <si>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</si>
  <si>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</si>
  <si>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</si>
  <si>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</si>
  <si>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</si>
  <si>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</si>
  <si>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</si>
  <si>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</si>
  <si>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</si>
  <si>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</si>
  <si>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</si>
  <si>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</si>
  <si>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</si>
  <si>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</si>
  <si>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</si>
  <si>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</si>
  <si>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</si>
  <si>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</si>
  <si>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</si>
  <si>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</si>
  <si>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</si>
  <si>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</si>
  <si>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</si>
  <si>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</si>
  <si>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</si>
  <si>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</si>
  <si>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</si>
  <si>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</si>
  <si>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</si>
  <si>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</si>
  <si>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</si>
  <si>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</si>
  <si>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</si>
  <si>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</si>
  <si>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</si>
  <si>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</si>
  <si>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</si>
  <si>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</si>
  <si>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</si>
  <si>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</si>
  <si>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</si>
  <si>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</si>
  <si>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</si>
  <si>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</si>
  <si>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</si>
  <si>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</si>
  <si>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</si>
  <si>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</si>
  <si>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</si>
  <si>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</si>
  <si>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</si>
  <si>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</si>
  <si>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</si>
  <si>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</si>
  <si>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</si>
  <si>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</si>
  <si>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</si>
  <si>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</si>
  <si>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</si>
  <si>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</si>
  <si>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</si>
  <si>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</si>
  <si>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</si>
  <si>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</si>
  <si>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</si>
  <si>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</si>
  <si>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</si>
  <si>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</si>
  <si>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</si>
  <si>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</si>
  <si>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</si>
  <si>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</si>
  <si>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</si>
  <si>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</si>
  <si>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</si>
  <si>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</si>
  <si>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</si>
  <si>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</si>
  <si>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</si>
  <si>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</si>
  <si>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</si>
  <si>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</si>
  <si>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</si>
  <si>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</si>
  <si>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</si>
  <si>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</si>
  <si>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</si>
  <si>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</si>
  <si>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</si>
  <si>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</si>
  <si>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</si>
  <si>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</si>
  <si>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</si>
  <si>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</si>
  <si>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</si>
  <si>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</si>
  <si>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</si>
  <si>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</si>
  <si>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</si>
  <si>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</si>
  <si>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</si>
  <si>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</si>
  <si>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</si>
  <si>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</si>
  <si>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</si>
  <si>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</si>
  <si>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</si>
  <si>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</si>
  <si>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</si>
  <si>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</si>
  <si>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</si>
  <si>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</si>
  <si>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</si>
  <si>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</si>
  <si>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</si>
  <si>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</si>
  <si>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</si>
  <si>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</si>
  <si>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</si>
  <si>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</si>
  <si>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</si>
  <si>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</si>
  <si>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</si>
  <si>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</si>
  <si>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</si>
  <si>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</si>
  <si>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</si>
  <si>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</si>
  <si>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</si>
  <si>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</si>
  <si>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</si>
  <si>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</si>
  <si>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</si>
  <si>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</si>
  <si>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</si>
  <si>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</si>
  <si>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</si>
  <si>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</si>
  <si>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</si>
  <si>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</si>
  <si>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</si>
  <si>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</si>
  <si>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</si>
  <si>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</si>
  <si>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</si>
  <si>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</si>
  <si>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</si>
  <si>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</si>
  <si>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</si>
  <si>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</si>
  <si>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</si>
  <si>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</si>
  <si>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</si>
  <si>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</si>
  <si>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</si>
  <si>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</si>
  <si>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</si>
  <si>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</si>
  <si>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</si>
  <si>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</si>
  <si>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</si>
  <si>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</si>
  <si>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</si>
  <si>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</si>
  <si>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</si>
  <si>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</si>
  <si>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</si>
  <si>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</si>
  <si>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</si>
  <si>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</si>
  <si>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</si>
  <si>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</si>
  <si>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</si>
  <si>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</si>
  <si>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</si>
  <si>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</si>
  <si>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</si>
  <si>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</si>
  <si>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</si>
  <si>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</si>
  <si>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</si>
  <si>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</si>
  <si>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</si>
  <si>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</si>
  <si>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</si>
  <si>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</si>
  <si>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</si>
  <si>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</si>
  <si>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</si>
  <si>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</si>
  <si>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</si>
  <si>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</si>
  <si>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</si>
  <si>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</si>
  <si>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</si>
  <si>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</si>
  <si>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</si>
  <si>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</si>
  <si>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</si>
  <si>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</si>
  <si>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</si>
  <si>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</si>
  <si>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</si>
  <si>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</si>
  <si>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</si>
  <si>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</si>
  <si>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</si>
  <si>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</si>
  <si>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</si>
  <si>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</si>
  <si>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</si>
  <si>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</si>
  <si>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</si>
  <si>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</si>
  <si>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</si>
  <si>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</si>
  <si>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</si>
  <si>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</si>
  <si>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</si>
  <si>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</si>
  <si>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</si>
  <si>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</si>
  <si>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</si>
  <si>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</si>
  <si>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</si>
  <si>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</si>
  <si>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</si>
  <si>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</si>
  <si>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</si>
  <si>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</si>
  <si>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</si>
  <si>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</si>
  <si>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</si>
  <si>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</si>
  <si>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</si>
  <si>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</si>
  <si>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</si>
  <si>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</si>
  <si>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</si>
  <si>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</si>
  <si>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</si>
  <si>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</si>
  <si>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</si>
  <si>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</si>
  <si>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</si>
  <si>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</si>
  <si>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</si>
  <si>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</si>
  <si>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</si>
  <si>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</si>
  <si>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</si>
  <si>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</si>
  <si>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</si>
  <si>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</si>
  <si>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</si>
  <si>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</si>
  <si>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</si>
  <si>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</si>
  <si>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</si>
  <si>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</si>
  <si>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</si>
  <si>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</si>
  <si>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</si>
  <si>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</si>
  <si>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</si>
  <si>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</si>
  <si>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</si>
  <si>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</si>
  <si>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</si>
  <si>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</si>
  <si>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</si>
  <si>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</si>
  <si>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</si>
  <si>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</si>
  <si>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</si>
  <si>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</si>
  <si>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</si>
  <si>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</si>
  <si>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</si>
  <si>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</si>
  <si>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</si>
  <si>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</si>
  <si>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</si>
  <si>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</si>
  <si>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</si>
  <si>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</si>
  <si>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</si>
  <si>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</si>
  <si>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</si>
  <si>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</si>
  <si>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</si>
  <si>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</si>
  <si>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</si>
  <si>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</si>
  <si>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</si>
  <si>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</si>
  <si>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</si>
  <si>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</si>
  <si>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</si>
  <si>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</si>
  <si>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</si>
  <si>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</si>
  <si>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</si>
  <si>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</si>
  <si>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</si>
  <si>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</si>
  <si>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</si>
  <si>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</si>
  <si>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</si>
  <si>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</si>
  <si>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</si>
  <si>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</si>
  <si>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</si>
  <si>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</si>
  <si>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</si>
  <si>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</si>
  <si>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</si>
  <si>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</si>
  <si>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</si>
  <si>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</si>
  <si>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</si>
  <si>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</si>
  <si>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</si>
  <si>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</si>
  <si>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</si>
  <si>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</si>
  <si>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</si>
  <si>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</si>
  <si>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</si>
  <si>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</si>
  <si>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</si>
  <si>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</si>
  <si>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</si>
  <si>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</si>
  <si>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</si>
  <si>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</si>
  <si>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</si>
  <si>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</si>
  <si>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</si>
  <si>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</si>
  <si>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</si>
  <si>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</si>
  <si>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</si>
  <si>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</si>
  <si>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</si>
  <si>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</si>
  <si>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</si>
  <si>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</si>
  <si>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</si>
  <si>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</si>
  <si>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</si>
  <si>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</si>
  <si>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</si>
  <si>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</si>
  <si>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</si>
  <si>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</si>
  <si>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</si>
  <si>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</si>
  <si>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</si>
  <si>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</si>
  <si>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</si>
  <si>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</si>
  <si>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</si>
  <si>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</si>
  <si>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</si>
  <si>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</si>
  <si>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</si>
  <si>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</si>
  <si>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</si>
  <si>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</si>
  <si>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</si>
  <si>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</si>
  <si>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</si>
  <si>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</si>
  <si>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</si>
  <si>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</si>
  <si>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</si>
  <si>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</si>
  <si>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</si>
  <si>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</si>
  <si>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</si>
  <si>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</si>
  <si>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</si>
  <si>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</si>
  <si>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</si>
  <si>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</si>
  <si>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</si>
  <si>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</si>
  <si>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</si>
  <si>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</si>
  <si>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</si>
  <si>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</si>
  <si>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</si>
  <si>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</si>
  <si>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</si>
  <si>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</si>
  <si>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</si>
  <si>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</si>
  <si>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</si>
  <si>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</si>
  <si>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</si>
  <si>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</si>
  <si>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</si>
  <si>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</si>
  <si>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</si>
  <si>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</si>
  <si>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</si>
  <si>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</si>
  <si>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</si>
  <si>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</si>
  <si>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</si>
  <si>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</si>
  <si>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</si>
  <si>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</si>
  <si>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</si>
  <si>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</si>
  <si>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</si>
  <si>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</si>
  <si>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</si>
  <si>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</si>
  <si>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</si>
  <si>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</si>
  <si>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</si>
  <si>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</si>
  <si>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</si>
  <si>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</si>
  <si>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</si>
  <si>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</si>
  <si>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</si>
  <si>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</si>
  <si>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</si>
  <si>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</si>
  <si>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</si>
  <si>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</si>
  <si>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</si>
  <si>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</si>
  <si>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</si>
  <si>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</si>
  <si>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</si>
  <si>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</si>
  <si>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</si>
  <si>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</si>
  <si>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</si>
  <si>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</si>
  <si>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</si>
  <si>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</si>
  <si>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</si>
  <si>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</si>
  <si>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</si>
  <si>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</si>
  <si>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</si>
  <si>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</si>
  <si>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</si>
  <si>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</si>
  <si>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</si>
  <si>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</si>
  <si>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</si>
  <si>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</si>
  <si>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</si>
  <si>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</si>
  <si>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</si>
  <si>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</si>
  <si>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</si>
  <si>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</si>
  <si>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</si>
  <si>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</si>
  <si>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</si>
  <si>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</si>
  <si>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</si>
  <si>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</si>
  <si>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</si>
  <si>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</si>
  <si>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</si>
  <si>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</si>
  <si>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</si>
  <si>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</si>
  <si>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</si>
  <si>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</si>
  <si>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</si>
  <si>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</si>
  <si>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</si>
  <si>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</si>
  <si>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</si>
  <si>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</si>
  <si>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</si>
  <si>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</si>
  <si>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</si>
  <si>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</si>
  <si>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</si>
  <si>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</si>
  <si>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</si>
  <si>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</si>
  <si>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</si>
  <si>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</si>
  <si>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</si>
  <si>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</si>
  <si>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</si>
  <si>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</si>
  <si>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</si>
  <si>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</si>
  <si>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</si>
  <si>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</si>
  <si>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</si>
  <si>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</si>
  <si>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</si>
  <si>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</si>
  <si>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</si>
  <si>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</si>
  <si>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</si>
  <si>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</si>
  <si>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</si>
  <si>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</si>
  <si>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</si>
  <si>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</si>
  <si>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</si>
  <si>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</si>
  <si>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</si>
  <si>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</si>
  <si>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</si>
  <si>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</si>
  <si>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</si>
  <si>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</si>
  <si>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</si>
  <si>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</si>
  <si>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</si>
  <si>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</si>
  <si>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</si>
  <si>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</si>
  <si>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</si>
  <si>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</si>
  <si>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</si>
  <si>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</si>
  <si>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</si>
  <si>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</si>
  <si>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</si>
  <si>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</si>
  <si>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</si>
  <si>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</si>
  <si>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</si>
  <si>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</si>
  <si>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</si>
  <si>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</si>
  <si>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</si>
  <si>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</si>
  <si>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</si>
  <si>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</si>
  <si>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</si>
  <si>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</si>
  <si>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</si>
  <si>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</si>
  <si>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</si>
  <si>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</si>
  <si>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</si>
  <si>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</si>
  <si>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</si>
  <si>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</si>
  <si>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</si>
  <si>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</si>
  <si>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</si>
  <si>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</si>
  <si>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</si>
  <si>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</si>
  <si>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</si>
  <si>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</si>
  <si>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</si>
  <si>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</si>
  <si>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</si>
  <si>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</si>
  <si>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</si>
  <si>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</si>
  <si>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</si>
  <si>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</si>
  <si>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</si>
  <si>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</si>
  <si>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</si>
  <si>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</si>
  <si>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</si>
  <si>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</si>
  <si>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</si>
  <si>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</si>
  <si>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</si>
  <si>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</si>
  <si>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</si>
  <si>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</si>
  <si>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</si>
  <si>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</si>
  <si>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</si>
  <si>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</si>
  <si>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</si>
  <si>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</si>
  <si>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</si>
  <si>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</si>
  <si>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</si>
  <si>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</si>
  <si>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</si>
  <si>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</si>
  <si>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</si>
  <si>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</si>
  <si>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</si>
  <si>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</si>
  <si>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</si>
  <si>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</si>
  <si>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</si>
  <si>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</si>
  <si>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</si>
  <si>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</si>
  <si>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</si>
  <si>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</si>
  <si>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</si>
  <si>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</si>
  <si>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</si>
  <si>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</si>
  <si>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</si>
  <si>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</si>
  <si>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</si>
  <si>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</si>
  <si>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</si>
  <si>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</si>
  <si>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</si>
  <si>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</si>
  <si>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</si>
  <si>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</si>
  <si>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</si>
  <si>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</si>
  <si>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</si>
  <si>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</si>
  <si>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</si>
  <si>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</si>
  <si>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</si>
  <si>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</si>
  <si>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</si>
  <si>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</si>
  <si>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</si>
  <si>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</si>
  <si>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</si>
  <si>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</si>
  <si>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</si>
  <si>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</si>
  <si>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</si>
  <si>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</si>
  <si>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</si>
  <si>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</si>
  <si>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</si>
  <si>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</si>
  <si>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</si>
  <si>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</si>
  <si>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</si>
  <si>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</si>
  <si>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</si>
  <si>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</si>
  <si>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</si>
  <si>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</si>
  <si>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</si>
  <si>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</si>
  <si>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</si>
  <si>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</si>
  <si>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</si>
  <si>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</si>
  <si>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</si>
  <si>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</si>
  <si>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</si>
  <si>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</si>
  <si>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</si>
  <si>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</si>
  <si>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</si>
  <si>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</si>
  <si>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</si>
  <si>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</si>
  <si>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</si>
  <si>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</si>
  <si>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</si>
  <si>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</si>
  <si>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</si>
  <si>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</si>
  <si>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</si>
  <si>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</si>
  <si>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</si>
  <si>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</si>
  <si>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</si>
  <si>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</si>
  <si>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</si>
  <si>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</si>
  <si>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</si>
  <si>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</si>
  <si>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</si>
  <si>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</si>
  <si>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</si>
  <si>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</si>
  <si>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</si>
  <si>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</si>
  <si>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</si>
  <si>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</si>
  <si>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</si>
  <si>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</si>
  <si>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</si>
  <si>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</si>
  <si>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</si>
  <si>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</si>
  <si>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</si>
  <si>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</si>
  <si>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</si>
  <si>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</si>
  <si>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</si>
  <si>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</si>
  <si>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</si>
  <si>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</si>
  <si>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</si>
  <si>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</si>
  <si>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</si>
  <si>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</si>
  <si>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</si>
  <si>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</si>
  <si>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</si>
  <si>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</si>
  <si>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</si>
  <si>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</si>
  <si>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</si>
  <si>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</si>
  <si>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</si>
  <si>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</si>
  <si>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</si>
  <si>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</si>
  <si>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</si>
  <si>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</si>
  <si>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</si>
  <si>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</si>
  <si>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</si>
  <si>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</si>
  <si>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</si>
  <si>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</si>
  <si>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</si>
  <si>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</si>
  <si>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</si>
  <si>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</si>
  <si>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</si>
  <si>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</si>
  <si>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</si>
  <si>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</si>
  <si>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</si>
  <si>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</si>
  <si>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</si>
  <si>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</si>
  <si>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</si>
  <si>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</si>
  <si>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</si>
  <si>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</si>
  <si>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</si>
  <si>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</si>
  <si>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</si>
  <si>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</si>
  <si>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</si>
  <si>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</si>
  <si>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</si>
  <si>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</si>
  <si>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</si>
  <si>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</si>
  <si>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</si>
  <si>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</si>
  <si>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</si>
  <si>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</si>
  <si>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</si>
  <si>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</si>
  <si>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</si>
  <si>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</si>
  <si>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</si>
  <si>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</si>
  <si>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</si>
  <si>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</si>
  <si>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</si>
  <si>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</si>
  <si>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</si>
  <si>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</si>
  <si>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</si>
  <si>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</si>
  <si>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</si>
  <si>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</si>
  <si>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</si>
  <si>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</si>
  <si>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</si>
  <si>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</si>
  <si>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</si>
  <si>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</si>
  <si>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</si>
  <si>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</si>
  <si>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</si>
  <si>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</si>
  <si>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</si>
  <si>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</si>
  <si>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</si>
  <si>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</si>
  <si>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</si>
  <si>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</si>
  <si>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</si>
  <si>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</si>
  <si>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</si>
  <si>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</si>
  <si>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</si>
  <si>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</si>
  <si>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</si>
  <si>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</si>
  <si>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</si>
  <si>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</si>
  <si>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</si>
  <si>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</si>
  <si>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</si>
  <si>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</si>
  <si>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</si>
  <si>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</si>
  <si>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</si>
  <si>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</si>
  <si>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</si>
  <si>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</si>
  <si>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</si>
  <si>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</si>
  <si>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</si>
  <si>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</si>
  <si>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</si>
  <si>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</si>
  <si>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</si>
  <si>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</si>
  <si>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</si>
  <si>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</si>
  <si>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</si>
  <si>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</si>
  <si>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</si>
  <si>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</si>
  <si>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</si>
  <si>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</si>
  <si>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</si>
  <si>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</si>
  <si>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</si>
  <si>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</si>
  <si>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</si>
  <si>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</si>
  <si>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</si>
  <si>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</si>
  <si>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</si>
  <si>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</si>
  <si>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</si>
  <si>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</si>
  <si>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</si>
  <si>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</si>
  <si>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</si>
  <si>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</si>
  <si>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</si>
  <si>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</si>
  <si>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</si>
  <si>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</si>
  <si>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</si>
  <si>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</si>
  <si>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</si>
  <si>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</si>
  <si>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</si>
  <si>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</si>
  <si>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</si>
  <si>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</si>
  <si>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</si>
  <si>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</si>
  <si>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</si>
  <si>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</si>
  <si>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</si>
  <si>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</si>
  <si>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</si>
  <si>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</si>
  <si>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</si>
  <si>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</si>
  <si>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</si>
  <si>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</si>
  <si>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</si>
  <si>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</si>
  <si>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</si>
  <si>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</si>
  <si>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</si>
  <si>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</si>
  <si>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</si>
  <si>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</si>
  <si>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</si>
  <si>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</si>
  <si>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</si>
  <si>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</si>
  <si>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</si>
  <si>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</si>
  <si>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</si>
  <si>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</si>
  <si>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</si>
  <si>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</si>
  <si>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</si>
  <si>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</si>
  <si>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</si>
  <si>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</si>
  <si>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</si>
  <si>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</si>
  <si>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</si>
  <si>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</si>
  <si>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</si>
  <si>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</si>
  <si>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</si>
  <si>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</si>
  <si>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</si>
  <si>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</si>
  <si>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</si>
  <si>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</si>
  <si>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</si>
  <si>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</si>
  <si>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</si>
  <si>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</si>
  <si>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</si>
  <si>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</si>
  <si>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</si>
  <si>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</si>
  <si>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</si>
  <si>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</si>
  <si>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</si>
  <si>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</si>
  <si>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</si>
  <si>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</si>
  <si>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</si>
  <si>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</si>
  <si>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</si>
  <si>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</si>
  <si>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</si>
  <si>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</si>
  <si>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</si>
  <si>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</si>
  <si>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</si>
  <si>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</si>
  <si>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</si>
  <si>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</si>
  <si>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</si>
  <si>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</si>
  <si>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</si>
  <si>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</si>
  <si>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</si>
  <si>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</si>
  <si>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</si>
  <si>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</si>
  <si>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</si>
  <si>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</si>
  <si>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</si>
  <si>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</si>
  <si>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</si>
  <si>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</si>
  <si>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</si>
  <si>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</si>
  <si>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</si>
  <si>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</si>
  <si>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</si>
  <si>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</si>
  <si>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</si>
  <si>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</si>
  <si>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</si>
  <si>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</si>
  <si>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</si>
  <si>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</si>
  <si>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</si>
  <si>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</si>
  <si>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</si>
  <si>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</si>
  <si>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</si>
  <si>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</si>
  <si>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</si>
  <si>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</si>
  <si>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</si>
  <si>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</si>
  <si>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</si>
  <si>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</si>
  <si>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</si>
  <si>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</si>
  <si>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</si>
  <si>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</si>
  <si>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</si>
  <si>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</si>
  <si>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</si>
  <si>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</si>
  <si>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</si>
  <si>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</si>
  <si>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</si>
  <si>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</si>
  <si>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</si>
  <si>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</si>
  <si>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</si>
  <si>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</si>
  <si>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</si>
  <si>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</si>
  <si>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</si>
  <si>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</si>
  <si>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</si>
  <si>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</si>
  <si>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</si>
  <si>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</si>
  <si>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</si>
  <si>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</si>
  <si>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</si>
  <si>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</si>
  <si>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</si>
  <si>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</si>
  <si>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</si>
  <si>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</si>
  <si>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</si>
  <si>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</si>
  <si>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</si>
  <si>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</si>
  <si>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</si>
  <si>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</si>
  <si>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</si>
  <si>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</si>
  <si>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</si>
  <si>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</si>
  <si>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</si>
  <si>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</si>
  <si>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</si>
  <si>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</si>
  <si>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</si>
  <si>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</si>
  <si>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</si>
  <si>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</si>
  <si>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</si>
  <si>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</si>
  <si>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</si>
  <si>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</si>
  <si>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</si>
  <si>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</si>
  <si>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</si>
  <si>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</si>
  <si>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</si>
  <si>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</si>
  <si>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</si>
  <si>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</si>
  <si>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</si>
  <si>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</si>
  <si>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</si>
  <si>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</si>
  <si>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</si>
  <si>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</si>
  <si>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</si>
  <si>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</si>
  <si>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</si>
  <si>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</si>
  <si>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</si>
  <si>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</si>
  <si>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</si>
  <si>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</si>
  <si>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</si>
  <si>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</si>
  <si>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</si>
  <si>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</si>
  <si>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</si>
  <si>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</si>
  <si>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</si>
  <si>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</si>
  <si>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</si>
  <si>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</si>
  <si>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</si>
  <si>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</si>
  <si>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</si>
  <si>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</si>
  <si>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</si>
  <si>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</si>
  <si>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</si>
  <si>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</si>
  <si>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</si>
  <si>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</si>
  <si>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</si>
  <si>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</si>
  <si>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</si>
  <si>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</si>
  <si>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</si>
  <si>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</si>
  <si>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</si>
  <si>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</si>
  <si>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</si>
  <si>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</si>
  <si>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</si>
  <si>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</si>
  <si>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</si>
  <si>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</si>
  <si>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</si>
  <si>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</si>
  <si>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</si>
  <si>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</si>
  <si>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</si>
  <si>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</si>
  <si>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</si>
  <si>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</si>
  <si>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</si>
  <si>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</si>
  <si>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</si>
  <si>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</si>
  <si>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</si>
  <si>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</si>
  <si>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</si>
  <si>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</si>
  <si>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</si>
  <si>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</si>
  <si>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</si>
  <si>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</si>
  <si>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</si>
  <si>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</si>
  <si>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</si>
  <si>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</si>
  <si>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</si>
  <si>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</si>
  <si>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</si>
  <si>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</si>
  <si>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</si>
  <si>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</si>
  <si>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</si>
  <si>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</si>
  <si>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</si>
  <si>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</si>
  <si>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</si>
  <si>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</si>
  <si>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</si>
  <si>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</si>
  <si>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</si>
  <si>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</si>
  <si>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</si>
  <si>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</si>
  <si>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</si>
  <si>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</si>
  <si>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</si>
  <si>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</si>
  <si>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</si>
  <si>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</si>
  <si>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</si>
  <si>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</si>
  <si>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</si>
  <si>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</si>
  <si>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</si>
  <si>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</si>
  <si>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</si>
  <si>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</si>
  <si>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</si>
  <si>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</si>
  <si>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</si>
  <si>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</si>
  <si>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</si>
  <si>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</si>
  <si>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</si>
  <si>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</si>
  <si>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</si>
  <si>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</si>
  <si>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</si>
  <si>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</si>
  <si>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</si>
  <si>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</si>
  <si>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</si>
  <si>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</si>
  <si>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</si>
  <si>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</si>
  <si>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</si>
  <si>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</si>
  <si>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</si>
  <si>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</si>
  <si>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</si>
  <si>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</si>
  <si>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</si>
  <si>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</si>
  <si>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</si>
  <si>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</si>
  <si>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</si>
  <si>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</si>
  <si>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</si>
  <si>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</si>
  <si>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</si>
  <si>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</si>
  <si>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</si>
  <si>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</si>
  <si>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</si>
  <si>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</si>
  <si>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</si>
  <si>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</si>
  <si>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</si>
  <si>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</si>
  <si>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</si>
  <si>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</si>
  <si>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</si>
  <si>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</si>
  <si>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</si>
  <si>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</si>
  <si>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</si>
  <si>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</si>
  <si>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</si>
  <si>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</si>
  <si>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</si>
  <si>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</si>
  <si>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</si>
  <si>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</si>
  <si>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</si>
  <si>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</si>
  <si>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</si>
  <si>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</si>
  <si>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</si>
  <si>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</si>
  <si>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</si>
  <si>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</si>
  <si>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</si>
  <si>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</si>
  <si>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</si>
  <si>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</si>
  <si>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</si>
  <si>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</si>
  <si>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</si>
  <si>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</si>
  <si>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</si>
  <si>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</si>
  <si>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</si>
  <si>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</si>
  <si>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</si>
  <si>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</si>
  <si>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</si>
  <si>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</si>
  <si>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</si>
  <si>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</si>
  <si>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</si>
  <si>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</si>
  <si>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</si>
  <si>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</si>
  <si>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</si>
  <si>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</si>
  <si>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</si>
  <si>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</si>
  <si>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</si>
  <si>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</si>
  <si>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</si>
  <si>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</si>
  <si>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</si>
  <si>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</si>
  <si>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</si>
  <si>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</si>
  <si>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</si>
  <si>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</si>
  <si>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</si>
  <si>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</si>
  <si>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</si>
  <si>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</si>
  <si>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</si>
  <si>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</si>
  <si>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</si>
  <si>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</si>
  <si>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</si>
  <si>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</si>
  <si>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</si>
  <si>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</si>
  <si>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</si>
  <si>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</si>
  <si>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</si>
  <si>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</si>
  <si>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</si>
  <si>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</si>
  <si>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</si>
  <si>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</si>
  <si>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</si>
  <si>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</si>
  <si>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</si>
  <si>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</si>
  <si>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</si>
  <si>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</si>
  <si>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</si>
  <si>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</si>
  <si>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</si>
  <si>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</si>
  <si>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</si>
  <si>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</si>
  <si>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</si>
  <si>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</si>
  <si>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</si>
  <si>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</si>
  <si>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</si>
  <si>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</si>
  <si>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</si>
  <si>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</si>
  <si>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</si>
  <si>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</si>
  <si>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</si>
  <si>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</si>
  <si>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</si>
  <si>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</si>
  <si>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</si>
  <si>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</si>
  <si>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</si>
  <si>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</si>
  <si>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</si>
  <si>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</si>
  <si>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</si>
  <si>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</si>
  <si>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</si>
  <si>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</si>
  <si>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</si>
  <si>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</si>
  <si>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</si>
  <si>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</si>
  <si>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</si>
  <si>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</si>
  <si>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</si>
  <si>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</si>
  <si>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</si>
  <si>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</si>
  <si>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</si>
  <si>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</si>
  <si>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</si>
  <si>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</si>
  <si>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</si>
  <si>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</si>
  <si>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</si>
  <si>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</si>
  <si>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</si>
  <si>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</si>
  <si>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</si>
  <si>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</si>
  <si>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</si>
  <si>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</si>
  <si>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</si>
  <si>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</si>
  <si>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</si>
  <si>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</si>
  <si>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</si>
  <si>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</si>
  <si>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</si>
  <si>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</si>
  <si>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</si>
  <si>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</si>
  <si>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</si>
  <si>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</si>
  <si>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</si>
  <si>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</si>
  <si>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</si>
  <si>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</si>
  <si>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</si>
  <si>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</si>
  <si>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</si>
  <si>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</si>
  <si>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</si>
  <si>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</si>
  <si>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</si>
  <si>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</si>
  <si>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</si>
  <si>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</si>
  <si>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</si>
  <si>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</si>
  <si>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</si>
  <si>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</si>
  <si>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</si>
  <si>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</si>
  <si>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</si>
  <si>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</si>
  <si>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</si>
  <si>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</si>
  <si>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</si>
  <si>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</si>
  <si>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</si>
  <si>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</si>
  <si>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</si>
  <si>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</si>
  <si>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</si>
  <si>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</si>
  <si>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</si>
  <si>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</si>
  <si>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</si>
  <si>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</si>
  <si>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</si>
  <si>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</si>
  <si>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</si>
  <si>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</si>
  <si>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</si>
  <si>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</si>
  <si>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</si>
  <si>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Column1</t>
  </si>
  <si>
    <t>month</t>
  </si>
  <si>
    <t>Row Labels</t>
  </si>
  <si>
    <t>(blank)</t>
  </si>
  <si>
    <t>Grand Total</t>
  </si>
  <si>
    <t>Sum of final_amount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</si>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</sst>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yyyy\-mm\-dd"/>
  </numFmts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8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8" fontId="8" fillId="4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14" fontId="0" fillId="0" borderId="0" xfId="0" applyNumberFormat="1"/>
    <xf numFmtId="8" fontId="8" fillId="4" borderId="1" xfId="0" applyNumberFormat="1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rgb="FFBFBFBF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9.18290324074" createdVersion="8" refreshedVersion="8" minRefreshableVersion="3" recordCount="199" xr:uid="{59EAD2D6-A8E9-4A1A-AF41-9667C400F540}">
  <cacheSource type="worksheet">
    <worksheetSource ref="A1:Q200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3T00:00:00" maxDate="2024-12-29T00:00:00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3" maxValue="29.8"/>
    </cacheField>
    <cacheField name="final_amount" numFmtId="0">
      <sharedItems containsSemiMixedTypes="0" containsString="0" containsNumber="1" minValue="150.66999999999999" maxValue="44450.7"/>
    </cacheField>
    <cacheField name="payment_status" numFmtId="0">
      <sharedItems/>
    </cacheField>
    <cacheField name="ship_city" numFmtId="0">
      <sharedItems/>
    </cacheField>
    <cacheField name="Column1" numFmtId="0">
      <sharedItems containsNonDate="0" containsString="0" containsBlank="1" count="1">
        <m/>
      </sharedItems>
    </cacheField>
    <cacheField name="orders" numFmtId="0">
      <sharedItems containsBlank="1"/>
    </cacheField>
    <cacheField name="category" numFmtId="0">
      <sharedItems containsBlank="1" count="10">
        <s v="Apparel"/>
        <s v="Sports"/>
        <s v="Grocery"/>
        <s v="Home"/>
        <s v="Electronics"/>
        <m/>
        <s v="North" u="1"/>
        <s v="South" u="1"/>
        <s v="West" u="1"/>
        <s v="East" u="1"/>
      </sharedItems>
    </cacheField>
    <cacheField name="segment" numFmtId="0">
      <sharedItems containsBlank="1"/>
    </cacheField>
    <cacheField name="age" numFmtId="0">
      <sharedItems containsBlank="1" containsMixedTypes="1" containsNumber="1" minValue="27" maxValue="2490845.3099999987"/>
    </cacheField>
    <cacheField name="region" numFmtId="0">
      <sharedItems containsBlank="1" count="5">
        <s v="North"/>
        <s v="South"/>
        <s v="West"/>
        <s v="Ea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ORD-00001"/>
    <d v="2024-09-14T00:00:00"/>
    <s v="CUST-0243"/>
    <s v="PROD-014"/>
    <s v="R007"/>
    <n v="8"/>
    <n v="3620"/>
    <n v="15.4"/>
    <n v="24500.16"/>
    <s v="Completed"/>
    <s v="Pune"/>
    <x v="0"/>
    <s v="Apparel"/>
    <x v="0"/>
    <s v="SMB"/>
    <n v="44"/>
    <x v="0"/>
  </r>
  <r>
    <s v="ORD-00002"/>
    <d v="2024-02-18T00:00:00"/>
    <s v="CUST-0202"/>
    <s v="PROD-020"/>
    <s v="R005"/>
    <n v="2"/>
    <n v="820"/>
    <n v="10.8"/>
    <n v="1462.88"/>
    <s v="Pending"/>
    <s v="Chennai"/>
    <x v="0"/>
    <s v="Apparel"/>
    <x v="0"/>
    <s v="Retail"/>
    <n v="39"/>
    <x v="0"/>
  </r>
  <r>
    <s v="ORD-00003"/>
    <d v="2024-03-20T00:00:00"/>
    <s v="CUST-0098"/>
    <s v="PROD-053"/>
    <s v="R014"/>
    <n v="8"/>
    <n v="470"/>
    <n v="3.3"/>
    <n v="3635.92"/>
    <s v="Pending"/>
    <s v="Delhi"/>
    <x v="0"/>
    <s v="Sports"/>
    <x v="1"/>
    <s v="Retail"/>
    <n v="52"/>
    <x v="1"/>
  </r>
  <r>
    <s v="ORD-00004"/>
    <d v="2024-05-01T00:00:00"/>
    <s v="CUST-0071"/>
    <s v="PROD-028"/>
    <s v="R006"/>
    <n v="1"/>
    <n v="3660"/>
    <n v="15.7"/>
    <n v="3085.38"/>
    <s v="Completed"/>
    <s v="Delhi"/>
    <x v="0"/>
    <s v="Grocery"/>
    <x v="2"/>
    <s v="Corporate"/>
    <n v="46"/>
    <x v="0"/>
  </r>
  <r>
    <s v="ORD-00005"/>
    <d v="2024-11-15T00:00:00"/>
    <s v="CUST-0180"/>
    <s v="PROD-012"/>
    <s v="R008"/>
    <n v="1"/>
    <n v="3160"/>
    <n v="26"/>
    <n v="2338.4"/>
    <s v="Completed"/>
    <s v="Chennai"/>
    <x v="0"/>
    <s v="Apparel"/>
    <x v="0"/>
    <s v="Retail"/>
    <n v="36"/>
    <x v="0"/>
  </r>
  <r>
    <s v="ORD-00006"/>
    <d v="2024-04-24T00:00:00"/>
    <s v="CUST-0275"/>
    <s v="PROD-032"/>
    <s v="R025"/>
    <n v="4"/>
    <n v="370"/>
    <n v="29"/>
    <n v="1050.8"/>
    <s v="Completed"/>
    <s v="Mumbai"/>
    <x v="0"/>
    <s v="Home"/>
    <x v="3"/>
    <s v="Retail"/>
    <n v="36"/>
    <x v="2"/>
  </r>
  <r>
    <s v="ORD-00007"/>
    <d v="2024-06-12T00:00:00"/>
    <s v="CUST-0293"/>
    <s v="PROD-057"/>
    <s v="R024"/>
    <n v="3"/>
    <n v="960"/>
    <n v="5.8"/>
    <n v="2712.96"/>
    <s v="Completed"/>
    <s v="Bengaluru"/>
    <x v="0"/>
    <s v="Sports"/>
    <x v="1"/>
    <s v="Retail"/>
    <n v="27"/>
    <x v="2"/>
  </r>
  <r>
    <s v="ORD-00008"/>
    <d v="2024-11-21T00:00:00"/>
    <s v="CUST-0281"/>
    <s v="PROD-007"/>
    <s v="R019"/>
    <n v="8"/>
    <n v="1430"/>
    <n v="2.4"/>
    <n v="11165.44"/>
    <s v="Completed"/>
    <s v="Bengaluru"/>
    <x v="0"/>
    <s v="Electronics"/>
    <x v="4"/>
    <s v="Corporate"/>
    <n v="57"/>
    <x v="3"/>
  </r>
  <r>
    <s v="ORD-00009"/>
    <d v="2024-09-14T00:00:00"/>
    <s v="CUST-0260"/>
    <s v="PROD-038"/>
    <s v="R008"/>
    <n v="3"/>
    <n v="5490"/>
    <n v="14.2"/>
    <n v="14131.26"/>
    <s v="Completed"/>
    <s v="Bengaluru"/>
    <x v="0"/>
    <m/>
    <x v="5"/>
    <m/>
    <m/>
    <x v="4"/>
  </r>
  <r>
    <s v="ORD-00010"/>
    <d v="2024-04-14T00:00:00"/>
    <s v="CUST-0147"/>
    <s v="PROD-030"/>
    <s v="R028"/>
    <n v="3"/>
    <n v="970"/>
    <n v="1.2"/>
    <n v="2875.08"/>
    <s v="Completed"/>
    <s v="Pune"/>
    <x v="0"/>
    <m/>
    <x v="5"/>
    <m/>
    <m/>
    <x v="4"/>
  </r>
  <r>
    <s v="ORD-00011"/>
    <d v="2024-09-25T00:00:00"/>
    <s v="CUST-0204"/>
    <s v="PROD-024"/>
    <s v="R010"/>
    <n v="7"/>
    <n v="2270"/>
    <n v="7.1"/>
    <n v="14761.81"/>
    <s v="Pending"/>
    <s v="Hyderabad"/>
    <x v="0"/>
    <m/>
    <x v="5"/>
    <m/>
    <m/>
    <x v="4"/>
  </r>
  <r>
    <s v="ORD-00012"/>
    <d v="2024-02-10T00:00:00"/>
    <s v="CUST-0147"/>
    <s v="PROD-010"/>
    <s v="R024"/>
    <n v="9"/>
    <n v="2640"/>
    <n v="21.7"/>
    <n v="18604.080000000002"/>
    <s v="Completed"/>
    <s v="Pune"/>
    <x v="0"/>
    <m/>
    <x v="5"/>
    <m/>
    <m/>
    <x v="4"/>
  </r>
  <r>
    <s v="ORD-00013"/>
    <d v="2024-08-03T00:00:00"/>
    <s v="CUST-0280"/>
    <s v="PROD-002"/>
    <s v="R004"/>
    <n v="3"/>
    <n v="2600"/>
    <n v="4.3"/>
    <n v="7464.6"/>
    <s v="Cancelled"/>
    <s v="Delhi"/>
    <x v="0"/>
    <m/>
    <x v="5"/>
    <m/>
    <m/>
    <x v="4"/>
  </r>
  <r>
    <s v="ORD-00014"/>
    <d v="2024-06-23T00:00:00"/>
    <s v="CUST-0008"/>
    <s v="PROD-036"/>
    <s v="R025"/>
    <n v="3"/>
    <n v="3250"/>
    <n v="14.1"/>
    <n v="8375.25"/>
    <s v="Refunded"/>
    <s v="Pune"/>
    <x v="0"/>
    <m/>
    <x v="5"/>
    <m/>
    <m/>
    <x v="4"/>
  </r>
  <r>
    <s v="ORD-00015"/>
    <d v="2024-03-14T00:00:00"/>
    <s v="CUST-0052"/>
    <s v="PROD-060"/>
    <s v="R003"/>
    <n v="1"/>
    <n v="190"/>
    <n v="20.7"/>
    <n v="150.66999999999999"/>
    <s v="Completed"/>
    <s v="Pune"/>
    <x v="0"/>
    <m/>
    <x v="5"/>
    <m/>
    <m/>
    <x v="4"/>
  </r>
  <r>
    <s v="ORD-00016"/>
    <d v="2024-09-11T00:00:00"/>
    <s v="CUST-0184"/>
    <s v="PROD-058"/>
    <s v="R014"/>
    <n v="7"/>
    <n v="2400"/>
    <n v="10.199999999999999"/>
    <n v="15086.4"/>
    <s v="Pending"/>
    <s v="Pune"/>
    <x v="0"/>
    <m/>
    <x v="5"/>
    <m/>
    <m/>
    <x v="4"/>
  </r>
  <r>
    <s v="ORD-00017"/>
    <d v="2024-08-08T00:00:00"/>
    <s v="CUST-0056"/>
    <s v="PROD-028"/>
    <s v="R023"/>
    <n v="4"/>
    <n v="3660"/>
    <n v="2.6"/>
    <n v="14259.36"/>
    <s v="Completed"/>
    <s v="Bengaluru"/>
    <x v="0"/>
    <m/>
    <x v="5"/>
    <m/>
    <m/>
    <x v="4"/>
  </r>
  <r>
    <s v="ORD-00018"/>
    <d v="2024-12-28T00:00:00"/>
    <s v="CUST-0273"/>
    <s v="PROD-047"/>
    <s v="R021"/>
    <n v="8"/>
    <n v="3450"/>
    <n v="18.5"/>
    <n v="22494"/>
    <s v="Completed"/>
    <s v="Hyderabad"/>
    <x v="0"/>
    <m/>
    <x v="5"/>
    <m/>
    <m/>
    <x v="4"/>
  </r>
  <r>
    <s v="ORD-00019"/>
    <d v="2024-11-30T00:00:00"/>
    <s v="CUST-0182"/>
    <s v="PROD-051"/>
    <s v="R023"/>
    <n v="5"/>
    <n v="3450"/>
    <n v="7.3"/>
    <n v="15990.75"/>
    <s v="Completed"/>
    <s v="Mumbai"/>
    <x v="0"/>
    <m/>
    <x v="5"/>
    <m/>
    <m/>
    <x v="4"/>
  </r>
  <r>
    <s v="ORD-00020"/>
    <d v="2024-04-12T00:00:00"/>
    <s v="CUST-0265"/>
    <s v="PROD-040"/>
    <s v="R023"/>
    <n v="8"/>
    <n v="1080"/>
    <n v="2.2000000000000002"/>
    <n v="8449.92"/>
    <s v="Completed"/>
    <s v="Chennai"/>
    <x v="0"/>
    <m/>
    <x v="5"/>
    <m/>
    <m/>
    <x v="4"/>
  </r>
  <r>
    <s v="ORD-00021"/>
    <d v="2024-06-27T00:00:00"/>
    <s v="CUST-0159"/>
    <s v="PROD-019"/>
    <s v="R006"/>
    <n v="7"/>
    <n v="2480"/>
    <n v="28.7"/>
    <n v="12377.68"/>
    <s v="Completed"/>
    <s v="Hyderabad"/>
    <x v="0"/>
    <m/>
    <x v="5"/>
    <m/>
    <m/>
    <x v="4"/>
  </r>
  <r>
    <s v="ORD-00022"/>
    <d v="2024-03-03T00:00:00"/>
    <s v="CUST-0259"/>
    <s v="PROD-036"/>
    <s v="R030"/>
    <n v="4"/>
    <n v="3250"/>
    <n v="24.6"/>
    <n v="9802"/>
    <s v="Completed"/>
    <s v="Mumbai"/>
    <x v="0"/>
    <m/>
    <x v="5"/>
    <s v="Row Labels"/>
    <s v="Sum of final_amount"/>
    <x v="4"/>
  </r>
  <r>
    <s v="ORD-00023"/>
    <d v="2024-08-26T00:00:00"/>
    <s v="CUST-0107"/>
    <s v="PROD-015"/>
    <s v="R030"/>
    <n v="9"/>
    <n v="2720"/>
    <n v="26.2"/>
    <n v="18066.240000000002"/>
    <s v="Completed"/>
    <s v="Pune"/>
    <x v="0"/>
    <m/>
    <x v="5"/>
    <s v="(blank)"/>
    <n v="2490845.3099999987"/>
    <x v="4"/>
  </r>
  <r>
    <s v="ORD-00024"/>
    <d v="2024-06-29T00:00:00"/>
    <s v="CUST-0101"/>
    <s v="PROD-044"/>
    <s v="R003"/>
    <n v="2"/>
    <n v="1650"/>
    <n v="9.4"/>
    <n v="2989.8"/>
    <s v="Completed"/>
    <s v="Hyderabad"/>
    <x v="0"/>
    <m/>
    <x v="5"/>
    <s v="(blank)"/>
    <n v="2440893.3699999992"/>
    <x v="4"/>
  </r>
  <r>
    <s v="ORD-00025"/>
    <d v="2024-04-12T00:00:00"/>
    <s v="CUST-0142"/>
    <s v="PROD-043"/>
    <s v="R023"/>
    <n v="6"/>
    <n v="3350"/>
    <n v="6.1"/>
    <n v="18873.900000000001"/>
    <s v="Pending"/>
    <s v="Chennai"/>
    <x v="0"/>
    <m/>
    <x v="5"/>
    <s v="(blank)"/>
    <n v="2440893.3699999992"/>
    <x v="4"/>
  </r>
  <r>
    <s v="ORD-00026"/>
    <d v="2024-10-05T00:00:00"/>
    <s v="CUST-0250"/>
    <s v="PROD-054"/>
    <s v="R019"/>
    <n v="2"/>
    <n v="1010"/>
    <n v="16.5"/>
    <n v="1686.7"/>
    <s v="Cancelled"/>
    <s v="Delhi"/>
    <x v="0"/>
    <m/>
    <x v="5"/>
    <s v="North"/>
    <n v="31386.820000000003"/>
    <x v="4"/>
  </r>
  <r>
    <s v="ORD-00027"/>
    <d v="2024-04-19T00:00:00"/>
    <s v="CUST-0098"/>
    <s v="PROD-046"/>
    <s v="R006"/>
    <n v="5"/>
    <n v="4880"/>
    <n v="23.6"/>
    <n v="18641.599999999999"/>
    <s v="Completed"/>
    <s v="Delhi"/>
    <x v="0"/>
    <m/>
    <x v="5"/>
    <s v="(blank)"/>
    <n v="31386.820000000003"/>
    <x v="4"/>
  </r>
  <r>
    <s v="ORD-00028"/>
    <d v="2024-08-13T00:00:00"/>
    <s v="CUST-0143"/>
    <s v="PROD-003"/>
    <s v="R015"/>
    <n v="7"/>
    <n v="3570"/>
    <n v="5.8"/>
    <n v="23540.58"/>
    <s v="Cancelled"/>
    <s v="Chennai"/>
    <x v="0"/>
    <m/>
    <x v="5"/>
    <s v="South"/>
    <n v="3635.92"/>
    <x v="4"/>
  </r>
  <r>
    <s v="ORD-00029"/>
    <d v="2024-03-12T00:00:00"/>
    <s v="CUST-0086"/>
    <s v="PROD-048"/>
    <s v="R020"/>
    <n v="9"/>
    <n v="5100"/>
    <n v="16.7"/>
    <n v="38234.699999999997"/>
    <s v="Completed"/>
    <s v="Hyderabad"/>
    <x v="0"/>
    <m/>
    <x v="5"/>
    <s v="(blank)"/>
    <n v="3635.92"/>
    <x v="4"/>
  </r>
  <r>
    <s v="ORD-00030"/>
    <d v="2024-03-16T00:00:00"/>
    <s v="CUST-0006"/>
    <s v="PROD-055"/>
    <s v="R005"/>
    <n v="3"/>
    <n v="2860"/>
    <n v="25.8"/>
    <n v="6366.36"/>
    <s v="Completed"/>
    <s v="Pune"/>
    <x v="0"/>
    <m/>
    <x v="5"/>
    <s v="West"/>
    <n v="3763.76"/>
    <x v="4"/>
  </r>
  <r>
    <s v="ORD-00031"/>
    <d v="2024-10-04T00:00:00"/>
    <s v="CUST-0241"/>
    <s v="PROD-030"/>
    <s v="R006"/>
    <n v="7"/>
    <n v="970"/>
    <n v="29.8"/>
    <n v="4766.58"/>
    <s v="Completed"/>
    <s v="Pune"/>
    <x v="0"/>
    <m/>
    <x v="5"/>
    <s v="(blank)"/>
    <n v="3763.76"/>
    <x v="4"/>
  </r>
  <r>
    <s v="ORD-00032"/>
    <d v="2024-12-15T00:00:00"/>
    <s v="CUST-0035"/>
    <s v="PROD-021"/>
    <s v="R026"/>
    <n v="4"/>
    <n v="2760"/>
    <n v="5.9"/>
    <n v="10388.64"/>
    <s v="Completed"/>
    <s v="Hyderabad"/>
    <x v="0"/>
    <m/>
    <x v="5"/>
    <s v="East"/>
    <n v="11165.44"/>
    <x v="4"/>
  </r>
  <r>
    <s v="ORD-00033"/>
    <d v="2024-02-21T00:00:00"/>
    <s v="CUST-0273"/>
    <s v="PROD-037"/>
    <s v="R009"/>
    <n v="10"/>
    <n v="660"/>
    <n v="18.3"/>
    <n v="5392.2"/>
    <s v="Pending"/>
    <s v="Hyderabad"/>
    <x v="0"/>
    <m/>
    <x v="5"/>
    <s v="(blank)"/>
    <n v="11165.44"/>
    <x v="4"/>
  </r>
  <r>
    <s v="ORD-00034"/>
    <d v="2024-10-11T00:00:00"/>
    <s v="CUST-0064"/>
    <s v="PROD-036"/>
    <s v="R019"/>
    <n v="1"/>
    <n v="3250"/>
    <n v="10.7"/>
    <n v="2902.25"/>
    <s v="Completed"/>
    <s v="Hyderabad"/>
    <x v="0"/>
    <m/>
    <x v="5"/>
    <s v="Grand Total"/>
    <n v="2490845.3099999987"/>
    <x v="4"/>
  </r>
  <r>
    <s v="ORD-00035"/>
    <d v="2024-06-19T00:00:00"/>
    <s v="CUST-0118"/>
    <s v="PROD-048"/>
    <s v="R019"/>
    <n v="8"/>
    <n v="5100"/>
    <n v="26.4"/>
    <n v="30028.799999999999"/>
    <s v="Cancelled"/>
    <s v="Hyderabad"/>
    <x v="0"/>
    <m/>
    <x v="5"/>
    <m/>
    <m/>
    <x v="4"/>
  </r>
  <r>
    <s v="ORD-00036"/>
    <d v="2024-05-30T00:00:00"/>
    <s v="CUST-0013"/>
    <s v="PROD-040"/>
    <s v="R021"/>
    <n v="1"/>
    <n v="1080"/>
    <n v="5.0999999999999996"/>
    <n v="1024.92"/>
    <s v="Completed"/>
    <s v="Delhi"/>
    <x v="0"/>
    <m/>
    <x v="5"/>
    <m/>
    <m/>
    <x v="4"/>
  </r>
  <r>
    <s v="ORD-00037"/>
    <d v="2024-12-20T00:00:00"/>
    <s v="CUST-0177"/>
    <s v="PROD-038"/>
    <s v="R009"/>
    <n v="2"/>
    <n v="5490"/>
    <n v="21.1"/>
    <n v="8663.2199999999993"/>
    <s v="Cancelled"/>
    <s v="Mumbai"/>
    <x v="0"/>
    <m/>
    <x v="5"/>
    <m/>
    <m/>
    <x v="4"/>
  </r>
  <r>
    <s v="ORD-00038"/>
    <d v="2024-07-05T00:00:00"/>
    <s v="CUST-0186"/>
    <s v="PROD-060"/>
    <s v="R001"/>
    <n v="7"/>
    <n v="190"/>
    <n v="28.7"/>
    <n v="948.29"/>
    <s v="Completed"/>
    <s v="Bengaluru"/>
    <x v="0"/>
    <m/>
    <x v="5"/>
    <m/>
    <m/>
    <x v="4"/>
  </r>
  <r>
    <s v="ORD-00039"/>
    <d v="2024-03-04T00:00:00"/>
    <s v="CUST-0069"/>
    <s v="PROD-058"/>
    <s v="R015"/>
    <n v="6"/>
    <n v="2400"/>
    <n v="2.7"/>
    <n v="14011.2"/>
    <s v="Completed"/>
    <s v="Chennai"/>
    <x v="0"/>
    <m/>
    <x v="5"/>
    <m/>
    <m/>
    <x v="4"/>
  </r>
  <r>
    <s v="ORD-00040"/>
    <d v="2024-11-03T00:00:00"/>
    <s v="CUST-0283"/>
    <s v="PROD-044"/>
    <s v="R023"/>
    <n v="9"/>
    <n v="1650"/>
    <n v="11.6"/>
    <n v="13127.4"/>
    <s v="Completed"/>
    <s v="Delhi"/>
    <x v="0"/>
    <m/>
    <x v="5"/>
    <m/>
    <m/>
    <x v="4"/>
  </r>
  <r>
    <s v="ORD-00041"/>
    <d v="2024-11-10T00:00:00"/>
    <s v="CUST-9507"/>
    <s v="PROD-038"/>
    <s v="R006"/>
    <n v="4"/>
    <n v="5490"/>
    <n v="12.8"/>
    <n v="19149.12"/>
    <s v="Cancelled"/>
    <s v="Chennai"/>
    <x v="0"/>
    <m/>
    <x v="5"/>
    <m/>
    <m/>
    <x v="4"/>
  </r>
  <r>
    <s v="ORD-00042"/>
    <d v="2024-05-20T00:00:00"/>
    <s v="CUST-0053"/>
    <s v="PROD-046"/>
    <s v="R014"/>
    <n v="10"/>
    <n v="4880"/>
    <n v="12.7"/>
    <n v="42602.400000000001"/>
    <s v="Completed"/>
    <s v="Delhi"/>
    <x v="0"/>
    <m/>
    <x v="5"/>
    <m/>
    <m/>
    <x v="4"/>
  </r>
  <r>
    <s v="ORD-00043"/>
    <d v="2024-04-10T00:00:00"/>
    <s v="CUST-0222"/>
    <s v="PROD-031"/>
    <s v="R019"/>
    <n v="2"/>
    <n v="3730"/>
    <n v="25.8"/>
    <n v="5535.32"/>
    <s v="Completed"/>
    <s v="Chennai"/>
    <x v="0"/>
    <m/>
    <x v="5"/>
    <m/>
    <m/>
    <x v="4"/>
  </r>
  <r>
    <s v="ORD-00044"/>
    <d v="2024-04-14T00:00:00"/>
    <s v="CUST-0095"/>
    <s v="PROD-047"/>
    <s v="R029"/>
    <n v="4"/>
    <n v="3450"/>
    <n v="20.7"/>
    <n v="10943.4"/>
    <s v="Completed"/>
    <s v="Mumbai"/>
    <x v="0"/>
    <m/>
    <x v="5"/>
    <m/>
    <m/>
    <x v="4"/>
  </r>
  <r>
    <s v="ORD-00045"/>
    <d v="2024-03-22T00:00:00"/>
    <s v="CUST-0152"/>
    <s v="PROD-019"/>
    <s v="R019"/>
    <n v="2"/>
    <n v="2480"/>
    <n v="17.3"/>
    <n v="4101.92"/>
    <s v="Completed"/>
    <s v="Bengaluru"/>
    <x v="0"/>
    <m/>
    <x v="5"/>
    <m/>
    <m/>
    <x v="4"/>
  </r>
  <r>
    <s v="ORD-00046"/>
    <d v="2024-01-21T00:00:00"/>
    <s v="CUST-0291"/>
    <s v="PROD-027"/>
    <s v="R015"/>
    <n v="9"/>
    <n v="3780"/>
    <n v="8.6999999999999993"/>
    <n v="31060.26"/>
    <s v="Pending"/>
    <s v="Pune"/>
    <x v="0"/>
    <m/>
    <x v="5"/>
    <m/>
    <m/>
    <x v="4"/>
  </r>
  <r>
    <s v="ORD-00047"/>
    <d v="2024-02-18T00:00:00"/>
    <s v="CUST-0112"/>
    <s v="PROD-013"/>
    <s v="R017"/>
    <n v="4"/>
    <n v="3640"/>
    <n v="20.7"/>
    <n v="11546.08"/>
    <s v="Completed"/>
    <s v="Hyderabad"/>
    <x v="0"/>
    <m/>
    <x v="5"/>
    <m/>
    <m/>
    <x v="4"/>
  </r>
  <r>
    <s v="ORD-00048"/>
    <d v="2024-03-19T00:00:00"/>
    <s v="CUST-9800"/>
    <s v="PROD-050"/>
    <s v="R003"/>
    <n v="8"/>
    <n v="6080"/>
    <n v="24.4"/>
    <n v="36771.839999999997"/>
    <s v="Completed"/>
    <s v="Pune"/>
    <x v="0"/>
    <m/>
    <x v="5"/>
    <m/>
    <m/>
    <x v="4"/>
  </r>
  <r>
    <s v="ORD-00049"/>
    <d v="2024-04-07T00:00:00"/>
    <s v="CUST-0143"/>
    <s v="PROD-030"/>
    <s v="R007"/>
    <n v="10"/>
    <n v="970"/>
    <n v="0.6"/>
    <n v="9641.7999999999993"/>
    <s v="Cancelled"/>
    <s v="Chennai"/>
    <x v="0"/>
    <m/>
    <x v="5"/>
    <m/>
    <m/>
    <x v="4"/>
  </r>
  <r>
    <s v="ORD-00050"/>
    <d v="2024-09-30T00:00:00"/>
    <s v="CUST-0226"/>
    <s v="PROD-022"/>
    <s v="R028"/>
    <n v="1"/>
    <n v="2270"/>
    <n v="11.5"/>
    <n v="2008.95"/>
    <s v="Pending"/>
    <s v="Chennai"/>
    <x v="0"/>
    <m/>
    <x v="5"/>
    <m/>
    <m/>
    <x v="4"/>
  </r>
  <r>
    <s v="ORD-00051"/>
    <d v="2024-02-01T00:00:00"/>
    <s v="CUST-0234"/>
    <s v="PROD-004"/>
    <s v="R023"/>
    <n v="7"/>
    <n v="3870"/>
    <n v="0.3"/>
    <n v="27008.73"/>
    <s v="Cancelled"/>
    <s v="Bengaluru"/>
    <x v="0"/>
    <m/>
    <x v="5"/>
    <m/>
    <m/>
    <x v="4"/>
  </r>
  <r>
    <s v="ORD-00052"/>
    <d v="2024-08-02T00:00:00"/>
    <s v="CUST-0176"/>
    <s v="PROD-046"/>
    <s v="R009"/>
    <n v="1"/>
    <n v="4880"/>
    <n v="23.9"/>
    <n v="3713.68"/>
    <s v="Pending"/>
    <s v="Bengaluru"/>
    <x v="0"/>
    <m/>
    <x v="5"/>
    <m/>
    <m/>
    <x v="4"/>
  </r>
  <r>
    <s v="ORD-00053"/>
    <d v="2024-11-20T00:00:00"/>
    <s v="CUST-0180"/>
    <s v="PROD-027"/>
    <s v="R013"/>
    <n v="5"/>
    <n v="3780"/>
    <n v="18.5"/>
    <n v="15403.5"/>
    <s v="Completed"/>
    <s v="Chennai"/>
    <x v="0"/>
    <m/>
    <x v="5"/>
    <m/>
    <m/>
    <x v="4"/>
  </r>
  <r>
    <s v="ORD-00054"/>
    <d v="2024-05-16T00:00:00"/>
    <s v="CUST-0088"/>
    <s v="PROD-036"/>
    <s v="R020"/>
    <n v="10"/>
    <n v="3250"/>
    <n v="25.5"/>
    <n v="24212.5"/>
    <s v="Completed"/>
    <s v="Chennai"/>
    <x v="0"/>
    <m/>
    <x v="5"/>
    <m/>
    <m/>
    <x v="4"/>
  </r>
  <r>
    <s v="ORD-00055"/>
    <d v="2024-08-11T00:00:00"/>
    <s v="CUST-0267"/>
    <s v="PROD-013"/>
    <s v="R007"/>
    <n v="4"/>
    <n v="3640"/>
    <n v="9.9"/>
    <n v="13118.56"/>
    <s v="Refunded"/>
    <s v="Hyderabad"/>
    <x v="0"/>
    <m/>
    <x v="5"/>
    <m/>
    <m/>
    <x v="4"/>
  </r>
  <r>
    <s v="ORD-00056"/>
    <d v="2024-12-23T00:00:00"/>
    <s v="CUST-0194"/>
    <s v="PROD-041"/>
    <s v="R023"/>
    <n v="4"/>
    <n v="1540"/>
    <n v="28.8"/>
    <n v="4385.92"/>
    <s v="Completed"/>
    <s v="Delhi"/>
    <x v="0"/>
    <m/>
    <x v="5"/>
    <m/>
    <m/>
    <x v="4"/>
  </r>
  <r>
    <s v="ORD-00057"/>
    <d v="2024-11-20T00:00:00"/>
    <s v="CUST-0261"/>
    <s v="PROD-040"/>
    <s v="R017"/>
    <n v="1"/>
    <n v="1080"/>
    <n v="23"/>
    <n v="831.6"/>
    <s v="Cancelled"/>
    <s v="Delhi"/>
    <x v="0"/>
    <m/>
    <x v="5"/>
    <m/>
    <m/>
    <x v="4"/>
  </r>
  <r>
    <s v="ORD-00058"/>
    <d v="2024-10-08T00:00:00"/>
    <s v="CUST-0031"/>
    <s v="PROD-026"/>
    <s v="R007"/>
    <n v="1"/>
    <n v="4070"/>
    <n v="6.7"/>
    <n v="3797.31"/>
    <s v="Completed"/>
    <s v="Hyderabad"/>
    <x v="0"/>
    <m/>
    <x v="5"/>
    <m/>
    <m/>
    <x v="4"/>
  </r>
  <r>
    <s v="ORD-00059"/>
    <d v="2024-05-05T00:00:00"/>
    <s v="CUST-0175"/>
    <s v="PROD-009"/>
    <s v="R030"/>
    <n v="2"/>
    <n v="1220"/>
    <n v="11.7"/>
    <n v="2154.52"/>
    <s v="Cancelled"/>
    <s v="Delhi"/>
    <x v="0"/>
    <m/>
    <x v="5"/>
    <m/>
    <m/>
    <x v="4"/>
  </r>
  <r>
    <s v="ORD-00060"/>
    <d v="2024-05-13T00:00:00"/>
    <s v="CUST-0263"/>
    <s v="PROD-039"/>
    <s v="R029"/>
    <n v="4"/>
    <n v="4610"/>
    <n v="26.9"/>
    <n v="13479.64"/>
    <s v="Pending"/>
    <s v="Mumbai"/>
    <x v="0"/>
    <m/>
    <x v="5"/>
    <m/>
    <m/>
    <x v="4"/>
  </r>
  <r>
    <s v="ORD-00061"/>
    <d v="2024-10-24T00:00:00"/>
    <s v="CUST-0203"/>
    <s v="PROD-040"/>
    <s v="R011"/>
    <n v="8"/>
    <n v="1080"/>
    <n v="28.4"/>
    <n v="6186.24"/>
    <s v="Completed"/>
    <s v="Chennai"/>
    <x v="0"/>
    <m/>
    <x v="5"/>
    <m/>
    <m/>
    <x v="4"/>
  </r>
  <r>
    <s v="ORD-00062"/>
    <d v="2024-07-15T00:00:00"/>
    <s v="CUST-0258"/>
    <s v="PROD-045"/>
    <s v="R006"/>
    <n v="10"/>
    <n v="3020"/>
    <n v="25.4"/>
    <n v="22529.200000000001"/>
    <s v="Completed"/>
    <s v="Pune"/>
    <x v="0"/>
    <m/>
    <x v="5"/>
    <m/>
    <m/>
    <x v="4"/>
  </r>
  <r>
    <s v="ORD-00063"/>
    <d v="2024-06-22T00:00:00"/>
    <s v="CUST-0282"/>
    <s v="PROD-008"/>
    <s v="R017"/>
    <n v="7"/>
    <n v="2660"/>
    <n v="5.3"/>
    <n v="17633.14"/>
    <s v="Completed"/>
    <s v="Hyderabad"/>
    <x v="0"/>
    <m/>
    <x v="5"/>
    <m/>
    <m/>
    <x v="4"/>
  </r>
  <r>
    <s v="ORD-00064"/>
    <d v="2024-11-03T00:00:00"/>
    <s v="CUST-0168"/>
    <s v="PROD-005"/>
    <s v="R003"/>
    <n v="9"/>
    <n v="300"/>
    <n v="25.3"/>
    <n v="2016.9"/>
    <s v="Completed"/>
    <s v="Pune"/>
    <x v="0"/>
    <m/>
    <x v="5"/>
    <m/>
    <m/>
    <x v="4"/>
  </r>
  <r>
    <s v="ORD-00065"/>
    <d v="2024-01-26T00:00:00"/>
    <s v="CUST-0040"/>
    <s v="PROD-010"/>
    <s v="R022"/>
    <n v="10"/>
    <n v="2640"/>
    <n v="18.7"/>
    <n v="21463.200000000001"/>
    <s v="Cancelled"/>
    <s v="Chennai"/>
    <x v="0"/>
    <m/>
    <x v="5"/>
    <m/>
    <m/>
    <x v="4"/>
  </r>
  <r>
    <s v="ORD-00066"/>
    <d v="2024-06-19T00:00:00"/>
    <s v="CUST-0283"/>
    <s v="PROD-020"/>
    <s v="R020"/>
    <n v="8"/>
    <n v="820"/>
    <n v="24"/>
    <n v="4985.6000000000004"/>
    <s v="Completed"/>
    <s v="Delhi"/>
    <x v="0"/>
    <m/>
    <x v="5"/>
    <m/>
    <m/>
    <x v="4"/>
  </r>
  <r>
    <s v="ORD-00067"/>
    <d v="2024-07-26T00:00:00"/>
    <s v="CUST-0202"/>
    <s v="PROD-021"/>
    <s v="R028"/>
    <n v="1"/>
    <n v="2760"/>
    <n v="4.8"/>
    <n v="2627.52"/>
    <s v="Completed"/>
    <s v="Chennai"/>
    <x v="0"/>
    <m/>
    <x v="5"/>
    <m/>
    <m/>
    <x v="4"/>
  </r>
  <r>
    <s v="ORD-00068"/>
    <d v="2024-02-06T00:00:00"/>
    <s v="CUST-0161"/>
    <s v="PROD-014"/>
    <s v="R017"/>
    <n v="2"/>
    <n v="3620"/>
    <n v="19.100000000000001"/>
    <n v="5857.16"/>
    <s v="Completed"/>
    <s v="Chennai"/>
    <x v="0"/>
    <m/>
    <x v="5"/>
    <m/>
    <m/>
    <x v="4"/>
  </r>
  <r>
    <s v="ORD-00069"/>
    <d v="2024-06-16T00:00:00"/>
    <s v="CUST-0033"/>
    <s v="PROD-016"/>
    <s v="R025"/>
    <n v="1"/>
    <n v="620"/>
    <n v="1"/>
    <n v="613.79999999999995"/>
    <s v="Completed"/>
    <s v="Delhi"/>
    <x v="0"/>
    <m/>
    <x v="5"/>
    <m/>
    <m/>
    <x v="4"/>
  </r>
  <r>
    <s v="ORD-00070"/>
    <d v="2024-04-16T00:00:00"/>
    <s v="CUST-0191"/>
    <s v="PROD-033"/>
    <s v="R030"/>
    <n v="1"/>
    <n v="2030"/>
    <n v="3.3"/>
    <n v="1963.01"/>
    <s v="Completed"/>
    <s v="Hyderabad"/>
    <x v="0"/>
    <m/>
    <x v="5"/>
    <m/>
    <m/>
    <x v="4"/>
  </r>
  <r>
    <s v="ORD-00071"/>
    <d v="2024-06-27T00:00:00"/>
    <s v="CUST-0180"/>
    <s v="PROD-012"/>
    <s v="R002"/>
    <n v="10"/>
    <n v="3160"/>
    <n v="15.8"/>
    <n v="26607.200000000001"/>
    <s v="Completed"/>
    <s v="Chennai"/>
    <x v="0"/>
    <m/>
    <x v="5"/>
    <m/>
    <m/>
    <x v="4"/>
  </r>
  <r>
    <s v="ORD-00072"/>
    <d v="2024-02-24T00:00:00"/>
    <s v="CUST-0129"/>
    <s v="PROD-030"/>
    <s v="R001"/>
    <n v="5"/>
    <n v="970"/>
    <n v="12.2"/>
    <n v="4258.3"/>
    <s v="Completed"/>
    <s v="Hyderabad"/>
    <x v="0"/>
    <m/>
    <x v="5"/>
    <m/>
    <m/>
    <x v="4"/>
  </r>
  <r>
    <s v="ORD-00073"/>
    <d v="2024-07-10T00:00:00"/>
    <s v="CUST-0189"/>
    <s v="PROD-043"/>
    <s v="R003"/>
    <n v="9"/>
    <n v="3350"/>
    <n v="25.8"/>
    <n v="22371.3"/>
    <s v="Pending"/>
    <s v="Chennai"/>
    <x v="0"/>
    <m/>
    <x v="5"/>
    <m/>
    <m/>
    <x v="4"/>
  </r>
  <r>
    <s v="ORD-00074"/>
    <d v="2024-10-20T00:00:00"/>
    <s v="CUST-0194"/>
    <s v="PROD-032"/>
    <s v="R018"/>
    <n v="1"/>
    <n v="370"/>
    <n v="28.9"/>
    <n v="263.07"/>
    <s v="Completed"/>
    <s v="Delhi"/>
    <x v="0"/>
    <m/>
    <x v="5"/>
    <m/>
    <m/>
    <x v="4"/>
  </r>
  <r>
    <s v="ORD-00075"/>
    <d v="2024-07-27T00:00:00"/>
    <s v="CUST-0200"/>
    <s v="PROD-030"/>
    <s v="R010"/>
    <n v="3"/>
    <n v="970"/>
    <n v="4.3"/>
    <n v="2784.87"/>
    <s v="Cancelled"/>
    <s v="Hyderabad"/>
    <x v="0"/>
    <m/>
    <x v="5"/>
    <m/>
    <m/>
    <x v="4"/>
  </r>
  <r>
    <s v="ORD-00076"/>
    <d v="2024-03-24T00:00:00"/>
    <s v="CUST-0008"/>
    <s v="PROD-021"/>
    <s v="R022"/>
    <n v="6"/>
    <n v="2760"/>
    <n v="19.899999999999999"/>
    <n v="13264.56"/>
    <s v="Pending"/>
    <s v="Pune"/>
    <x v="0"/>
    <m/>
    <x v="5"/>
    <m/>
    <m/>
    <x v="4"/>
  </r>
  <r>
    <s v="ORD-00077"/>
    <d v="2024-05-31T00:00:00"/>
    <s v="CUST-0051"/>
    <s v="PROD-021"/>
    <s v="R019"/>
    <n v="7"/>
    <n v="2760"/>
    <n v="25.2"/>
    <n v="14451.36"/>
    <s v="Completed"/>
    <s v="Pune"/>
    <x v="0"/>
    <m/>
    <x v="5"/>
    <m/>
    <m/>
    <x v="4"/>
  </r>
  <r>
    <s v="ORD-00078"/>
    <d v="2024-04-08T00:00:00"/>
    <s v="CUST-0193"/>
    <s v="PROD-009"/>
    <s v="R022"/>
    <n v="4"/>
    <n v="1220"/>
    <n v="8.4"/>
    <n v="4470.08"/>
    <s v="Completed"/>
    <s v="Bengaluru"/>
    <x v="0"/>
    <m/>
    <x v="5"/>
    <m/>
    <m/>
    <x v="4"/>
  </r>
  <r>
    <s v="ORD-00079"/>
    <d v="2024-11-19T00:00:00"/>
    <s v="CUST-0020"/>
    <s v="PROD-002"/>
    <s v="R028"/>
    <n v="2"/>
    <n v="2600"/>
    <n v="1.9"/>
    <n v="5101.2"/>
    <s v="Pending"/>
    <s v="Hyderabad"/>
    <x v="0"/>
    <m/>
    <x v="5"/>
    <m/>
    <m/>
    <x v="4"/>
  </r>
  <r>
    <s v="ORD-00080"/>
    <d v="2024-07-25T00:00:00"/>
    <s v="CUST-0230"/>
    <s v="PROD-026"/>
    <s v="R030"/>
    <n v="9"/>
    <n v="4070"/>
    <n v="28.8"/>
    <n v="26080.560000000001"/>
    <s v="Completed"/>
    <s v="Pune"/>
    <x v="0"/>
    <m/>
    <x v="5"/>
    <m/>
    <m/>
    <x v="4"/>
  </r>
  <r>
    <s v="ORD-00081"/>
    <d v="2024-08-11T00:00:00"/>
    <s v="CUST-0094"/>
    <s v="PROD-024"/>
    <s v="R005"/>
    <n v="2"/>
    <n v="2270"/>
    <n v="18"/>
    <n v="3722.8"/>
    <s v="Refunded"/>
    <s v="Pune"/>
    <x v="0"/>
    <m/>
    <x v="5"/>
    <m/>
    <m/>
    <x v="4"/>
  </r>
  <r>
    <s v="ORD-00082"/>
    <d v="2024-08-24T00:00:00"/>
    <s v="CUST-0248"/>
    <s v="PROD-012"/>
    <s v="R017"/>
    <n v="2"/>
    <n v="3160"/>
    <n v="18.3"/>
    <n v="5163.4399999999996"/>
    <s v="Completed"/>
    <s v="Chennai"/>
    <x v="0"/>
    <m/>
    <x v="5"/>
    <m/>
    <m/>
    <x v="4"/>
  </r>
  <r>
    <s v="ORD-00083"/>
    <d v="2024-04-20T00:00:00"/>
    <s v="CUST-0082"/>
    <s v="PROD-019"/>
    <s v="R007"/>
    <n v="4"/>
    <n v="2480"/>
    <n v="1.1000000000000001"/>
    <n v="9810.8799999999992"/>
    <s v="Pending"/>
    <s v="Hyderabad"/>
    <x v="0"/>
    <m/>
    <x v="5"/>
    <m/>
    <m/>
    <x v="4"/>
  </r>
  <r>
    <s v="ORD-00084"/>
    <d v="2024-09-12T00:00:00"/>
    <s v="CUST-0078"/>
    <s v="PROD-008"/>
    <s v="R026"/>
    <n v="1"/>
    <n v="2660"/>
    <n v="21"/>
    <n v="2101.4"/>
    <s v="Completed"/>
    <s v="Delhi"/>
    <x v="0"/>
    <m/>
    <x v="5"/>
    <m/>
    <m/>
    <x v="4"/>
  </r>
  <r>
    <s v="ORD-00085"/>
    <d v="2024-05-12T00:00:00"/>
    <s v="CUST-0032"/>
    <s v="PROD-045"/>
    <s v="R012"/>
    <n v="5"/>
    <n v="3020"/>
    <n v="22.2"/>
    <n v="11747.8"/>
    <s v="Completed"/>
    <s v="Hyderabad"/>
    <x v="0"/>
    <m/>
    <x v="5"/>
    <m/>
    <m/>
    <x v="4"/>
  </r>
  <r>
    <s v="ORD-00086"/>
    <d v="2024-06-18T00:00:00"/>
    <s v="CUST-0006"/>
    <s v="PROD-016"/>
    <s v="R030"/>
    <n v="9"/>
    <n v="620"/>
    <n v="23.3"/>
    <n v="4279.8599999999997"/>
    <s v="Completed"/>
    <s v="Pune"/>
    <x v="0"/>
    <m/>
    <x v="5"/>
    <m/>
    <m/>
    <x v="4"/>
  </r>
  <r>
    <s v="ORD-00087"/>
    <d v="2024-11-04T00:00:00"/>
    <s v="CUST-0084"/>
    <s v="PROD-053"/>
    <s v="R026"/>
    <n v="2"/>
    <n v="470"/>
    <n v="5.4"/>
    <n v="889.24"/>
    <s v="Completed"/>
    <s v="Chennai"/>
    <x v="0"/>
    <m/>
    <x v="5"/>
    <m/>
    <m/>
    <x v="4"/>
  </r>
  <r>
    <s v="ORD-00088"/>
    <d v="2024-10-22T00:00:00"/>
    <s v="CUST-0107"/>
    <s v="PROD-007"/>
    <s v="R010"/>
    <n v="3"/>
    <n v="1430"/>
    <n v="6.5"/>
    <n v="4011.15"/>
    <s v="Completed"/>
    <s v="Pune"/>
    <x v="0"/>
    <m/>
    <x v="5"/>
    <m/>
    <m/>
    <x v="4"/>
  </r>
  <r>
    <s v="ORD-00089"/>
    <d v="2024-08-14T00:00:00"/>
    <s v="CUST-0108"/>
    <s v="PROD-016"/>
    <s v="R004"/>
    <n v="6"/>
    <n v="620"/>
    <n v="2.6"/>
    <n v="3623.28"/>
    <s v="Completed"/>
    <s v="Bengaluru"/>
    <x v="0"/>
    <m/>
    <x v="5"/>
    <m/>
    <m/>
    <x v="4"/>
  </r>
  <r>
    <s v="ORD-00090"/>
    <d v="2024-08-29T00:00:00"/>
    <s v="CUST-0139"/>
    <s v="PROD-003"/>
    <s v="R012"/>
    <n v="4"/>
    <n v="3570"/>
    <n v="4.5"/>
    <n v="13637.4"/>
    <s v="Pending"/>
    <s v="Hyderabad"/>
    <x v="0"/>
    <m/>
    <x v="5"/>
    <m/>
    <m/>
    <x v="4"/>
  </r>
  <r>
    <s v="ORD-00091"/>
    <d v="2024-11-26T00:00:00"/>
    <s v="CUST-0200"/>
    <s v="PROD-022"/>
    <s v="R010"/>
    <n v="6"/>
    <n v="2270"/>
    <n v="2"/>
    <n v="13347.6"/>
    <s v="Completed"/>
    <s v="Hyderabad"/>
    <x v="0"/>
    <m/>
    <x v="5"/>
    <m/>
    <m/>
    <x v="4"/>
  </r>
  <r>
    <s v="ORD-00092"/>
    <d v="2024-02-06T00:00:00"/>
    <s v="CUST-0208"/>
    <s v="PROD-015"/>
    <s v="R014"/>
    <n v="7"/>
    <n v="2720"/>
    <n v="15.4"/>
    <n v="16107.84"/>
    <s v="Completed"/>
    <s v="Mumbai"/>
    <x v="0"/>
    <m/>
    <x v="5"/>
    <m/>
    <m/>
    <x v="4"/>
  </r>
  <r>
    <s v="ORD-00093"/>
    <d v="2024-03-29T00:00:00"/>
    <s v="CUST-0161"/>
    <s v="PROD-029"/>
    <s v="R001"/>
    <n v="9"/>
    <n v="2210"/>
    <n v="12.4"/>
    <n v="17423.64"/>
    <s v="Completed"/>
    <s v="Chennai"/>
    <x v="0"/>
    <m/>
    <x v="5"/>
    <m/>
    <m/>
    <x v="4"/>
  </r>
  <r>
    <s v="ORD-00094"/>
    <d v="2024-12-22T00:00:00"/>
    <s v="CUST-0042"/>
    <s v="PROD-060"/>
    <s v="R026"/>
    <n v="6"/>
    <n v="190"/>
    <n v="19.2"/>
    <n v="921.12"/>
    <s v="Completed"/>
    <s v="Pune"/>
    <x v="0"/>
    <m/>
    <x v="5"/>
    <m/>
    <m/>
    <x v="4"/>
  </r>
  <r>
    <s v="ORD-00095"/>
    <d v="2024-11-11T00:00:00"/>
    <s v="CUST-0133"/>
    <s v="PROD-048"/>
    <s v="R027"/>
    <n v="10"/>
    <n v="5100"/>
    <n v="25.4"/>
    <n v="38046"/>
    <s v="Refunded"/>
    <s v="Chennai"/>
    <x v="0"/>
    <m/>
    <x v="5"/>
    <m/>
    <m/>
    <x v="4"/>
  </r>
  <r>
    <s v="ORD-00096"/>
    <d v="2024-05-02T00:00:00"/>
    <s v="CUST-0219"/>
    <s v="PROD-054"/>
    <s v="R016"/>
    <n v="5"/>
    <n v="1010"/>
    <n v="1.6"/>
    <n v="4969.2"/>
    <s v="Completed"/>
    <s v="Chennai"/>
    <x v="0"/>
    <m/>
    <x v="5"/>
    <m/>
    <m/>
    <x v="4"/>
  </r>
  <r>
    <s v="ORD-00097"/>
    <d v="2024-02-06T00:00:00"/>
    <s v="CUST-0031"/>
    <s v="PROD-031"/>
    <s v="R025"/>
    <n v="1"/>
    <n v="3730"/>
    <n v="22.7"/>
    <n v="2883.29"/>
    <s v="Completed"/>
    <s v="Hyderabad"/>
    <x v="0"/>
    <m/>
    <x v="5"/>
    <m/>
    <m/>
    <x v="4"/>
  </r>
  <r>
    <s v="ORD-00098"/>
    <d v="2024-03-22T00:00:00"/>
    <s v="CUST-0189"/>
    <s v="PROD-002"/>
    <s v="R028"/>
    <n v="10"/>
    <n v="2600"/>
    <n v="20.7"/>
    <n v="20618"/>
    <s v="Completed"/>
    <s v="Chennai"/>
    <x v="0"/>
    <m/>
    <x v="5"/>
    <m/>
    <m/>
    <x v="4"/>
  </r>
  <r>
    <s v="ORD-00099"/>
    <d v="2024-06-15T00:00:00"/>
    <s v="CUST-0170"/>
    <s v="PROD-025"/>
    <s v="R006"/>
    <n v="4"/>
    <n v="4060"/>
    <n v="13.9"/>
    <n v="13982.64"/>
    <s v="Completed"/>
    <s v="Mumbai"/>
    <x v="0"/>
    <m/>
    <x v="5"/>
    <m/>
    <m/>
    <x v="4"/>
  </r>
  <r>
    <s v="ORD-00100"/>
    <d v="2024-05-14T00:00:00"/>
    <s v="CUST-0164"/>
    <s v="PROD-050"/>
    <s v="R027"/>
    <n v="6"/>
    <n v="6080"/>
    <n v="16.5"/>
    <n v="30460.799999999999"/>
    <s v="Completed"/>
    <s v="Chennai"/>
    <x v="0"/>
    <m/>
    <x v="5"/>
    <m/>
    <m/>
    <x v="4"/>
  </r>
  <r>
    <s v="ORD-00101"/>
    <d v="2024-09-22T00:00:00"/>
    <s v="CUST-0006"/>
    <s v="PROD-017"/>
    <s v="R028"/>
    <n v="6"/>
    <n v="2510"/>
    <n v="11.7"/>
    <n v="13297.98"/>
    <s v="Completed"/>
    <s v="Pune"/>
    <x v="0"/>
    <m/>
    <x v="5"/>
    <m/>
    <m/>
    <x v="4"/>
  </r>
  <r>
    <s v="ORD-00102"/>
    <d v="2024-08-05T00:00:00"/>
    <s v="CUST-0181"/>
    <s v="PROD-036"/>
    <s v="R026"/>
    <n v="5"/>
    <n v="3250"/>
    <n v="18.399999999999999"/>
    <n v="13260"/>
    <s v="Completed"/>
    <s v="Delhi"/>
    <x v="0"/>
    <m/>
    <x v="5"/>
    <m/>
    <m/>
    <x v="4"/>
  </r>
  <r>
    <s v="ORD-00103"/>
    <d v="2024-02-07T00:00:00"/>
    <s v="CUST-0131"/>
    <s v="PROD-052"/>
    <s v="R005"/>
    <n v="4"/>
    <n v="5410"/>
    <n v="9.8000000000000007"/>
    <n v="19519.28"/>
    <s v="Cancelled"/>
    <s v="Delhi"/>
    <x v="0"/>
    <m/>
    <x v="5"/>
    <m/>
    <m/>
    <x v="4"/>
  </r>
  <r>
    <s v="ORD-00104"/>
    <d v="2024-04-29T00:00:00"/>
    <s v="CUST-0255"/>
    <s v="PROD-003"/>
    <s v="R018"/>
    <n v="8"/>
    <n v="3570"/>
    <n v="11.1"/>
    <n v="25389.84"/>
    <s v="Completed"/>
    <s v="Chennai"/>
    <x v="0"/>
    <m/>
    <x v="5"/>
    <m/>
    <m/>
    <x v="4"/>
  </r>
  <r>
    <s v="ORD-00105"/>
    <d v="2024-01-06T00:00:00"/>
    <s v="CUST-0170"/>
    <s v="PROD-001"/>
    <s v="R003"/>
    <n v="10"/>
    <n v="5330"/>
    <n v="21.2"/>
    <n v="42000.4"/>
    <s v="Completed"/>
    <s v="Mumbai"/>
    <x v="0"/>
    <m/>
    <x v="5"/>
    <m/>
    <m/>
    <x v="4"/>
  </r>
  <r>
    <s v="ORD-00106"/>
    <d v="2024-12-14T00:00:00"/>
    <s v="CUST-0081"/>
    <s v="PROD-023"/>
    <s v="R017"/>
    <n v="4"/>
    <n v="2380"/>
    <n v="26.2"/>
    <n v="7025.76"/>
    <s v="Completed"/>
    <s v="Mumbai"/>
    <x v="0"/>
    <m/>
    <x v="5"/>
    <m/>
    <m/>
    <x v="4"/>
  </r>
  <r>
    <s v="ORD-00107"/>
    <d v="2024-01-31T00:00:00"/>
    <s v="CUST-0102"/>
    <s v="PROD-054"/>
    <s v="R027"/>
    <n v="1"/>
    <n v="1010"/>
    <n v="19.5"/>
    <n v="813.05"/>
    <s v="Cancelled"/>
    <s v="Chennai"/>
    <x v="0"/>
    <m/>
    <x v="5"/>
    <m/>
    <m/>
    <x v="4"/>
  </r>
  <r>
    <s v="ORD-00108"/>
    <d v="2024-05-02T00:00:00"/>
    <s v="CUST-0070"/>
    <s v="PROD-028"/>
    <s v="R025"/>
    <n v="1"/>
    <n v="3660"/>
    <n v="1.3"/>
    <n v="3612.42"/>
    <s v="Completed"/>
    <s v="Mumbai"/>
    <x v="0"/>
    <m/>
    <x v="5"/>
    <m/>
    <m/>
    <x v="4"/>
  </r>
  <r>
    <s v="ORD-00109"/>
    <d v="2024-10-27T00:00:00"/>
    <s v="CUST-0012"/>
    <s v="PROD-026"/>
    <s v="R013"/>
    <n v="2"/>
    <n v="4070"/>
    <n v="29"/>
    <n v="5779.4"/>
    <s v="Cancelled"/>
    <s v="Pune"/>
    <x v="0"/>
    <m/>
    <x v="5"/>
    <m/>
    <m/>
    <x v="4"/>
  </r>
  <r>
    <s v="ORD-00110"/>
    <d v="2024-05-27T00:00:00"/>
    <s v="CUST-0086"/>
    <s v="PROD-037"/>
    <s v="R029"/>
    <n v="6"/>
    <n v="660"/>
    <n v="20.2"/>
    <n v="3160.08"/>
    <s v="Pending"/>
    <s v="Hyderabad"/>
    <x v="0"/>
    <m/>
    <x v="5"/>
    <m/>
    <m/>
    <x v="4"/>
  </r>
  <r>
    <s v="ORD-00111"/>
    <d v="2024-07-13T00:00:00"/>
    <s v="CUST-0145"/>
    <s v="PROD-040"/>
    <s v="R024"/>
    <n v="3"/>
    <n v="1080"/>
    <n v="29.7"/>
    <n v="2277.7199999999998"/>
    <s v="Completed"/>
    <s v="Bengaluru"/>
    <x v="0"/>
    <m/>
    <x v="5"/>
    <m/>
    <m/>
    <x v="4"/>
  </r>
  <r>
    <s v="ORD-00112"/>
    <d v="2024-12-03T00:00:00"/>
    <s v="CUST-0287"/>
    <s v="PROD-020"/>
    <s v="R006"/>
    <n v="7"/>
    <n v="820"/>
    <n v="13.5"/>
    <n v="4965.1000000000004"/>
    <s v="Cancelled"/>
    <s v="Chennai"/>
    <x v="0"/>
    <m/>
    <x v="5"/>
    <m/>
    <m/>
    <x v="4"/>
  </r>
  <r>
    <s v="ORD-00113"/>
    <d v="2024-04-12T00:00:00"/>
    <s v="CUST-0280"/>
    <s v="PROD-049"/>
    <s v="R027"/>
    <n v="4"/>
    <n v="960"/>
    <n v="26"/>
    <n v="2841.6"/>
    <s v="Completed"/>
    <s v="Delhi"/>
    <x v="0"/>
    <m/>
    <x v="5"/>
    <m/>
    <m/>
    <x v="4"/>
  </r>
  <r>
    <s v="ORD-00114"/>
    <d v="2024-06-10T00:00:00"/>
    <s v="CUST-0096"/>
    <s v="PROD-002"/>
    <s v="R014"/>
    <n v="3"/>
    <n v="2600"/>
    <n v="18.2"/>
    <n v="6380.4"/>
    <s v="Completed"/>
    <s v="Delhi"/>
    <x v="0"/>
    <m/>
    <x v="5"/>
    <m/>
    <m/>
    <x v="4"/>
  </r>
  <r>
    <s v="ORD-00115"/>
    <d v="2024-03-19T00:00:00"/>
    <s v="CUST-0184"/>
    <s v="PROD-033"/>
    <s v="R029"/>
    <n v="9"/>
    <n v="2030"/>
    <n v="26.1"/>
    <n v="13501.53"/>
    <s v="Completed"/>
    <s v="Pune"/>
    <x v="0"/>
    <m/>
    <x v="5"/>
    <m/>
    <m/>
    <x v="4"/>
  </r>
  <r>
    <s v="ORD-00116"/>
    <d v="2024-11-01T00:00:00"/>
    <s v="CUST-0025"/>
    <s v="PROD-042"/>
    <s v="R028"/>
    <n v="8"/>
    <n v="2290"/>
    <n v="20.8"/>
    <n v="14509.44"/>
    <s v="Completed"/>
    <s v="Bengaluru"/>
    <x v="0"/>
    <m/>
    <x v="5"/>
    <m/>
    <m/>
    <x v="4"/>
  </r>
  <r>
    <s v="ORD-00117"/>
    <d v="2024-08-27T00:00:00"/>
    <s v="CUST-0149"/>
    <s v="PROD-031"/>
    <s v="R029"/>
    <n v="3"/>
    <n v="3730"/>
    <n v="7.9"/>
    <n v="10305.99"/>
    <s v="Completed"/>
    <s v="Hyderabad"/>
    <x v="0"/>
    <m/>
    <x v="5"/>
    <m/>
    <m/>
    <x v="4"/>
  </r>
  <r>
    <s v="ORD-00118"/>
    <d v="2024-10-31T00:00:00"/>
    <s v="CUST-0018"/>
    <s v="PROD-005"/>
    <s v="R014"/>
    <n v="1"/>
    <n v="300"/>
    <n v="16.899999999999999"/>
    <n v="249.3"/>
    <s v="Pending"/>
    <s v="Pune"/>
    <x v="0"/>
    <m/>
    <x v="5"/>
    <m/>
    <m/>
    <x v="4"/>
  </r>
  <r>
    <s v="ORD-00119"/>
    <d v="2024-05-08T00:00:00"/>
    <s v="CUST-0216"/>
    <s v="PROD-005"/>
    <s v="R012"/>
    <n v="3"/>
    <n v="300"/>
    <n v="0.6"/>
    <n v="894.6"/>
    <s v="Completed"/>
    <s v="Mumbai"/>
    <x v="0"/>
    <m/>
    <x v="5"/>
    <m/>
    <m/>
    <x v="4"/>
  </r>
  <r>
    <s v="ORD-00120"/>
    <d v="2024-02-07T00:00:00"/>
    <s v="CUST-0092"/>
    <s v="PROD-043"/>
    <s v="R007"/>
    <n v="6"/>
    <n v="3350"/>
    <n v="2.2999999999999998"/>
    <n v="19637.7"/>
    <s v="Cancelled"/>
    <s v="Bengaluru"/>
    <x v="0"/>
    <m/>
    <x v="5"/>
    <m/>
    <m/>
    <x v="4"/>
  </r>
  <r>
    <s v="ORD-00121"/>
    <d v="2024-05-04T00:00:00"/>
    <s v="CUST-0056"/>
    <s v="PROD-001"/>
    <s v="R003"/>
    <n v="4"/>
    <n v="5330"/>
    <n v="29.3"/>
    <n v="15073.24"/>
    <s v="Completed"/>
    <s v="Bengaluru"/>
    <x v="0"/>
    <m/>
    <x v="5"/>
    <m/>
    <m/>
    <x v="4"/>
  </r>
  <r>
    <s v="ORD-00122"/>
    <d v="2024-11-18T00:00:00"/>
    <s v="CUST-0113"/>
    <s v="PROD-014"/>
    <s v="R002"/>
    <n v="6"/>
    <n v="3620"/>
    <n v="10.8"/>
    <n v="19374.240000000002"/>
    <s v="Completed"/>
    <s v="Delhi"/>
    <x v="0"/>
    <m/>
    <x v="5"/>
    <m/>
    <m/>
    <x v="4"/>
  </r>
  <r>
    <s v="ORD-00123"/>
    <d v="2024-10-28T00:00:00"/>
    <s v="CUST-0253"/>
    <s v="PROD-014"/>
    <s v="R005"/>
    <n v="6"/>
    <n v="3620"/>
    <n v="21.7"/>
    <n v="17006.759999999998"/>
    <s v="Completed"/>
    <s v="Delhi"/>
    <x v="0"/>
    <m/>
    <x v="5"/>
    <m/>
    <m/>
    <x v="4"/>
  </r>
  <r>
    <s v="ORD-00124"/>
    <d v="2024-03-09T00:00:00"/>
    <s v="CUST-0187"/>
    <s v="PROD-057"/>
    <s v="R008"/>
    <n v="8"/>
    <n v="960"/>
    <n v="27.9"/>
    <n v="5537.28"/>
    <s v="Completed"/>
    <s v="Chennai"/>
    <x v="0"/>
    <m/>
    <x v="5"/>
    <m/>
    <m/>
    <x v="4"/>
  </r>
  <r>
    <s v="ORD-00125"/>
    <d v="2024-12-02T00:00:00"/>
    <s v="CUST-0028"/>
    <s v="PROD-044"/>
    <s v="R025"/>
    <n v="5"/>
    <n v="1650"/>
    <n v="4.9000000000000004"/>
    <n v="7845.75"/>
    <s v="Completed"/>
    <s v="Bengaluru"/>
    <x v="0"/>
    <m/>
    <x v="5"/>
    <m/>
    <m/>
    <x v="4"/>
  </r>
  <r>
    <s v="ORD-00126"/>
    <d v="2024-10-27T00:00:00"/>
    <s v="CUST-0224"/>
    <s v="PROD-049"/>
    <s v="R010"/>
    <n v="9"/>
    <n v="960"/>
    <n v="25.1"/>
    <n v="6471.36"/>
    <s v="Refunded"/>
    <s v="Chennai"/>
    <x v="0"/>
    <m/>
    <x v="5"/>
    <m/>
    <m/>
    <x v="4"/>
  </r>
  <r>
    <s v="ORD-00127"/>
    <d v="2024-06-10T00:00:00"/>
    <s v="CUST-0150"/>
    <s v="PROD-006"/>
    <s v="R003"/>
    <n v="7"/>
    <n v="3970"/>
    <n v="13.8"/>
    <n v="23954.98"/>
    <s v="Pending"/>
    <s v="Pune"/>
    <x v="0"/>
    <m/>
    <x v="5"/>
    <m/>
    <m/>
    <x v="4"/>
  </r>
  <r>
    <s v="ORD-00128"/>
    <d v="2024-11-16T00:00:00"/>
    <s v="CUST-0129"/>
    <s v="PROD-030"/>
    <s v="R005"/>
    <n v="7"/>
    <n v="970"/>
    <n v="21.6"/>
    <n v="5323.36"/>
    <s v="Pending"/>
    <s v="Hyderabad"/>
    <x v="0"/>
    <m/>
    <x v="5"/>
    <m/>
    <m/>
    <x v="4"/>
  </r>
  <r>
    <s v="ORD-00129"/>
    <d v="2024-09-06T00:00:00"/>
    <s v="CUST-0239"/>
    <s v="PROD-033"/>
    <s v="R001"/>
    <n v="10"/>
    <n v="2030"/>
    <n v="1.2"/>
    <n v="20056.400000000001"/>
    <s v="Completed"/>
    <s v="Mumbai"/>
    <x v="0"/>
    <m/>
    <x v="5"/>
    <m/>
    <m/>
    <x v="4"/>
  </r>
  <r>
    <s v="ORD-00130"/>
    <d v="2024-12-14T00:00:00"/>
    <s v="CUST-0106"/>
    <s v="PROD-024"/>
    <s v="R021"/>
    <n v="9"/>
    <n v="2270"/>
    <n v="13.2"/>
    <n v="17733.240000000002"/>
    <s v="Pending"/>
    <s v="Pune"/>
    <x v="0"/>
    <m/>
    <x v="5"/>
    <m/>
    <m/>
    <x v="4"/>
  </r>
  <r>
    <s v="ORD-00131"/>
    <d v="2024-08-20T00:00:00"/>
    <s v="CUST-0273"/>
    <s v="PROD-046"/>
    <s v="R003"/>
    <n v="8"/>
    <n v="4880"/>
    <n v="13.4"/>
    <n v="33808.639999999999"/>
    <s v="Completed"/>
    <s v="Hyderabad"/>
    <x v="0"/>
    <m/>
    <x v="5"/>
    <m/>
    <m/>
    <x v="4"/>
  </r>
  <r>
    <s v="ORD-00132"/>
    <d v="2024-02-22T00:00:00"/>
    <s v="CUST-0114"/>
    <s v="PROD-004"/>
    <s v="R011"/>
    <n v="10"/>
    <n v="3870"/>
    <n v="23.9"/>
    <n v="29450.7"/>
    <s v="Completed"/>
    <s v="Bengaluru"/>
    <x v="0"/>
    <m/>
    <x v="5"/>
    <m/>
    <m/>
    <x v="4"/>
  </r>
  <r>
    <s v="ORD-00133"/>
    <d v="2024-06-20T00:00:00"/>
    <s v="CUST-0146"/>
    <s v="PROD-042"/>
    <s v="R002"/>
    <n v="4"/>
    <n v="2290"/>
    <n v="15.2"/>
    <n v="7767.68"/>
    <s v="Completed"/>
    <s v="Hyderabad"/>
    <x v="0"/>
    <m/>
    <x v="5"/>
    <m/>
    <m/>
    <x v="4"/>
  </r>
  <r>
    <s v="ORD-00134"/>
    <d v="2024-05-31T00:00:00"/>
    <s v="CUST-0298"/>
    <s v="PROD-023"/>
    <s v="R020"/>
    <n v="8"/>
    <n v="2380"/>
    <n v="4.2"/>
    <n v="18240.32"/>
    <s v="Completed"/>
    <s v="Delhi"/>
    <x v="0"/>
    <m/>
    <x v="5"/>
    <m/>
    <m/>
    <x v="4"/>
  </r>
  <r>
    <s v="ORD-00135"/>
    <d v="2024-01-10T00:00:00"/>
    <s v="CUST-0111"/>
    <s v="PROD-029"/>
    <s v="R013"/>
    <n v="8"/>
    <n v="2210"/>
    <n v="11.5"/>
    <n v="15646.8"/>
    <s v="Completed"/>
    <s v="Chennai"/>
    <x v="0"/>
    <m/>
    <x v="5"/>
    <m/>
    <m/>
    <x v="4"/>
  </r>
  <r>
    <s v="ORD-01445"/>
    <d v="2024-03-09T00:00:00"/>
    <s v="CUST-0291"/>
    <s v="PROD-001"/>
    <s v="R022"/>
    <n v="4"/>
    <n v="5330"/>
    <n v="22.6"/>
    <n v="16501.68"/>
    <s v="Pending"/>
    <s v="Pune"/>
    <x v="0"/>
    <m/>
    <x v="5"/>
    <m/>
    <m/>
    <x v="4"/>
  </r>
  <r>
    <s v="ORD-00137"/>
    <d v="2024-09-24T00:00:00"/>
    <s v="CUST-0024"/>
    <s v="PROD-006"/>
    <s v="R022"/>
    <n v="8"/>
    <n v="3970"/>
    <n v="21.8"/>
    <n v="24836.32"/>
    <s v="Completed"/>
    <s v="Chennai"/>
    <x v="0"/>
    <m/>
    <x v="5"/>
    <m/>
    <m/>
    <x v="4"/>
  </r>
  <r>
    <s v="ORD-00138"/>
    <d v="2024-09-11T00:00:00"/>
    <s v="CUST-0210"/>
    <s v="PROD-012"/>
    <s v="R020"/>
    <n v="10"/>
    <n v="3160"/>
    <n v="16.100000000000001"/>
    <n v="26512.400000000001"/>
    <s v="Cancelled"/>
    <s v="Pune"/>
    <x v="0"/>
    <m/>
    <x v="5"/>
    <m/>
    <m/>
    <x v="4"/>
  </r>
  <r>
    <s v="ORD-00139"/>
    <d v="2024-05-13T00:00:00"/>
    <s v="CUST-0192"/>
    <s v="PROD-060"/>
    <s v="R009"/>
    <n v="5"/>
    <n v="190"/>
    <n v="14.8"/>
    <n v="809.4"/>
    <s v="Completed"/>
    <s v="Bengaluru"/>
    <x v="0"/>
    <m/>
    <x v="5"/>
    <m/>
    <m/>
    <x v="4"/>
  </r>
  <r>
    <s v="ORD-00140"/>
    <d v="2024-02-29T00:00:00"/>
    <s v="CUST-0078"/>
    <s v="PROD-021"/>
    <s v="R007"/>
    <n v="6"/>
    <n v="2760"/>
    <n v="19.8"/>
    <n v="13281.12"/>
    <s v="Completed"/>
    <s v="Delhi"/>
    <x v="0"/>
    <m/>
    <x v="5"/>
    <m/>
    <m/>
    <x v="4"/>
  </r>
  <r>
    <s v="ORD-00141"/>
    <d v="2024-11-08T00:00:00"/>
    <s v="CUST-0070"/>
    <s v="PROD-022"/>
    <s v="R019"/>
    <n v="9"/>
    <n v="2270"/>
    <n v="20.8"/>
    <n v="16180.56"/>
    <s v="Cancelled"/>
    <s v="Mumbai"/>
    <x v="0"/>
    <m/>
    <x v="5"/>
    <m/>
    <m/>
    <x v="4"/>
  </r>
  <r>
    <s v="ORD-00142"/>
    <d v="2024-02-06T00:00:00"/>
    <s v="CUST-0159"/>
    <s v="PROD-052"/>
    <s v="R001"/>
    <n v="8"/>
    <n v="5410"/>
    <n v="12.9"/>
    <n v="37696.879999999997"/>
    <s v="Completed"/>
    <s v="Hyderabad"/>
    <x v="0"/>
    <m/>
    <x v="5"/>
    <m/>
    <m/>
    <x v="4"/>
  </r>
  <r>
    <s v="ORD-00143"/>
    <d v="2024-08-04T00:00:00"/>
    <s v="CUST-0294"/>
    <s v="PROD-024"/>
    <s v="R009"/>
    <n v="9"/>
    <n v="2270"/>
    <n v="6.8"/>
    <n v="19040.759999999998"/>
    <s v="Completed"/>
    <s v="Delhi"/>
    <x v="0"/>
    <m/>
    <x v="5"/>
    <m/>
    <m/>
    <x v="4"/>
  </r>
  <r>
    <s v="ORD-00144"/>
    <d v="2024-01-18T00:00:00"/>
    <s v="CUST-0280"/>
    <s v="PROD-012"/>
    <s v="R001"/>
    <n v="3"/>
    <n v="3160"/>
    <n v="12.8"/>
    <n v="8266.56"/>
    <s v="Completed"/>
    <s v="Delhi"/>
    <x v="0"/>
    <m/>
    <x v="5"/>
    <m/>
    <m/>
    <x v="4"/>
  </r>
  <r>
    <s v="ORD-00145"/>
    <d v="2024-06-05T00:00:00"/>
    <s v="CUST-0291"/>
    <s v="PROD-025"/>
    <s v="R028"/>
    <n v="8"/>
    <n v="4060"/>
    <n v="20.9"/>
    <n v="25691.68"/>
    <s v="Completed"/>
    <s v="Pune"/>
    <x v="0"/>
    <m/>
    <x v="5"/>
    <m/>
    <m/>
    <x v="4"/>
  </r>
  <r>
    <s v="ORD-00146"/>
    <d v="2024-06-06T00:00:00"/>
    <s v="CUST-9657"/>
    <s v="PROD-020"/>
    <s v="R018"/>
    <n v="5"/>
    <n v="820"/>
    <n v="9.1"/>
    <n v="3726.9"/>
    <s v="Refunded"/>
    <s v="Pune"/>
    <x v="0"/>
    <m/>
    <x v="5"/>
    <m/>
    <m/>
    <x v="4"/>
  </r>
  <r>
    <s v="ORD-00147"/>
    <d v="2024-09-20T00:00:00"/>
    <s v="CUST-0080"/>
    <s v="PROD-032"/>
    <s v="R007"/>
    <n v="5"/>
    <n v="370"/>
    <n v="11.5"/>
    <n v="1637.25"/>
    <s v="Completed"/>
    <s v="Pune"/>
    <x v="0"/>
    <m/>
    <x v="5"/>
    <m/>
    <m/>
    <x v="4"/>
  </r>
  <r>
    <s v="ORD-00148"/>
    <d v="2024-02-19T00:00:00"/>
    <s v="CUST-0172"/>
    <s v="PROD-034"/>
    <s v="R002"/>
    <n v="9"/>
    <n v="5080"/>
    <n v="27.5"/>
    <n v="33147"/>
    <s v="Completed"/>
    <s v="Pune"/>
    <x v="0"/>
    <m/>
    <x v="5"/>
    <m/>
    <m/>
    <x v="4"/>
  </r>
  <r>
    <s v="ORD-00149"/>
    <d v="2024-05-10T00:00:00"/>
    <s v="CUST-0051"/>
    <s v="PROD-026"/>
    <s v="R012"/>
    <n v="6"/>
    <n v="4070"/>
    <n v="12.5"/>
    <n v="21367.5"/>
    <s v="Completed"/>
    <s v="Pune"/>
    <x v="0"/>
    <m/>
    <x v="5"/>
    <m/>
    <m/>
    <x v="4"/>
  </r>
  <r>
    <s v="ORD-00150"/>
    <d v="2024-02-24T00:00:00"/>
    <s v="CUST-0080"/>
    <s v="PROD-005"/>
    <s v="R024"/>
    <n v="5"/>
    <n v="300"/>
    <n v="25.8"/>
    <n v="1113"/>
    <s v="Completed"/>
    <s v="Pune"/>
    <x v="0"/>
    <m/>
    <x v="5"/>
    <m/>
    <m/>
    <x v="4"/>
  </r>
  <r>
    <s v="ORD-00151"/>
    <d v="2024-01-27T00:00:00"/>
    <s v="CUST-0137"/>
    <s v="PROD-048"/>
    <s v="R011"/>
    <n v="7"/>
    <n v="5100"/>
    <n v="28.8"/>
    <n v="25418.400000000001"/>
    <s v="Completed"/>
    <s v="Mumbai"/>
    <x v="0"/>
    <m/>
    <x v="5"/>
    <m/>
    <m/>
    <x v="4"/>
  </r>
  <r>
    <s v="ORD-00152"/>
    <d v="2024-08-17T00:00:00"/>
    <s v="CUST-0222"/>
    <s v="PROD-038"/>
    <s v="R012"/>
    <n v="2"/>
    <n v="5490"/>
    <n v="5.5"/>
    <n v="10376.1"/>
    <s v="Completed"/>
    <s v="Chennai"/>
    <x v="0"/>
    <m/>
    <x v="5"/>
    <m/>
    <m/>
    <x v="4"/>
  </r>
  <r>
    <s v="ORD-00153"/>
    <d v="2024-10-30T00:00:00"/>
    <s v="CUST-0117"/>
    <s v="PROD-011"/>
    <s v="R015"/>
    <n v="2"/>
    <n v="3450"/>
    <n v="1.2"/>
    <n v="6817.2"/>
    <s v="Completed"/>
    <s v="Delhi"/>
    <x v="0"/>
    <m/>
    <x v="5"/>
    <m/>
    <m/>
    <x v="4"/>
  </r>
  <r>
    <s v="ORD-00154"/>
    <d v="2024-08-26T00:00:00"/>
    <s v="CUST-0104"/>
    <s v="PROD-029"/>
    <s v="R002"/>
    <n v="10"/>
    <n v="2210"/>
    <n v="18.8"/>
    <n v="17945.2"/>
    <s v="Completed"/>
    <s v="Hyderabad"/>
    <x v="0"/>
    <m/>
    <x v="5"/>
    <m/>
    <m/>
    <x v="4"/>
  </r>
  <r>
    <s v="ORD-00155"/>
    <d v="2024-12-18T00:00:00"/>
    <s v="CUST-0082"/>
    <s v="PROD-036"/>
    <s v="R013"/>
    <n v="2"/>
    <n v="3250"/>
    <n v="26.2"/>
    <n v="4797"/>
    <s v="Completed"/>
    <s v="Hyderabad"/>
    <x v="0"/>
    <m/>
    <x v="5"/>
    <m/>
    <m/>
    <x v="4"/>
  </r>
  <r>
    <s v="ORD-00156"/>
    <d v="2024-01-07T00:00:00"/>
    <s v="CUST-0165"/>
    <s v="PROD-012"/>
    <s v="R001"/>
    <n v="5"/>
    <n v="3160"/>
    <n v="0.9"/>
    <n v="15657.8"/>
    <s v="Completed"/>
    <s v="Pune"/>
    <x v="0"/>
    <m/>
    <x v="5"/>
    <m/>
    <m/>
    <x v="4"/>
  </r>
  <r>
    <s v="ORD-00157"/>
    <d v="2024-06-04T00:00:00"/>
    <s v="CUST-0150"/>
    <s v="PROD-004"/>
    <s v="R030"/>
    <n v="4"/>
    <n v="3870"/>
    <n v="29.6"/>
    <n v="10897.92"/>
    <s v="Cancelled"/>
    <s v="Pune"/>
    <x v="0"/>
    <m/>
    <x v="5"/>
    <m/>
    <m/>
    <x v="4"/>
  </r>
  <r>
    <s v="ORD-00158"/>
    <d v="2024-11-05T00:00:00"/>
    <s v="CUST-0228"/>
    <s v="PROD-059"/>
    <s v="R022"/>
    <n v="4"/>
    <n v="3780"/>
    <n v="3.5"/>
    <n v="14590.8"/>
    <s v="Cancelled"/>
    <s v="Pune"/>
    <x v="0"/>
    <m/>
    <x v="5"/>
    <m/>
    <m/>
    <x v="4"/>
  </r>
  <r>
    <s v="ORD-00159"/>
    <d v="2024-05-16T00:00:00"/>
    <s v="CUST-0197"/>
    <s v="PROD-045"/>
    <s v="R021"/>
    <n v="4"/>
    <n v="3020"/>
    <n v="18.899999999999999"/>
    <n v="9796.8799999999992"/>
    <s v="Completed"/>
    <s v="Bengaluru"/>
    <x v="0"/>
    <m/>
    <x v="5"/>
    <m/>
    <m/>
    <x v="4"/>
  </r>
  <r>
    <s v="ORD-00160"/>
    <d v="2024-04-27T00:00:00"/>
    <s v="CUST-0009"/>
    <s v="PROD-031"/>
    <s v="R015"/>
    <n v="1"/>
    <n v="3730"/>
    <n v="10.8"/>
    <n v="3327.16"/>
    <s v="Refunded"/>
    <s v="Mumbai"/>
    <x v="0"/>
    <m/>
    <x v="5"/>
    <m/>
    <m/>
    <x v="4"/>
  </r>
  <r>
    <s v="ORD-00161"/>
    <d v="2024-04-12T00:00:00"/>
    <s v="CUST-0139"/>
    <s v="PROD-046"/>
    <s v="R018"/>
    <n v="8"/>
    <n v="4880"/>
    <n v="20.3"/>
    <n v="31114.880000000001"/>
    <s v="Completed"/>
    <s v="Hyderabad"/>
    <x v="0"/>
    <m/>
    <x v="5"/>
    <m/>
    <m/>
    <x v="4"/>
  </r>
  <r>
    <s v="ORD-00162"/>
    <d v="2024-10-14T00:00:00"/>
    <s v="CUST-0184"/>
    <s v="PROD-030"/>
    <s v="R026"/>
    <n v="9"/>
    <n v="970"/>
    <n v="18.2"/>
    <n v="7141.14"/>
    <s v="Completed"/>
    <s v="Pune"/>
    <x v="0"/>
    <m/>
    <x v="5"/>
    <m/>
    <m/>
    <x v="4"/>
  </r>
  <r>
    <s v="ORD-00163"/>
    <d v="2024-05-30T00:00:00"/>
    <s v="CUST-0119"/>
    <s v="PROD-008"/>
    <s v="R017"/>
    <n v="8"/>
    <n v="2660"/>
    <n v="17.600000000000001"/>
    <n v="17534.72"/>
    <s v="Completed"/>
    <s v="Bengaluru"/>
    <x v="0"/>
    <m/>
    <x v="5"/>
    <m/>
    <m/>
    <x v="4"/>
  </r>
  <r>
    <s v="ORD-00164"/>
    <d v="2024-05-02T00:00:00"/>
    <s v="CUST-0280"/>
    <s v="PROD-020"/>
    <s v="R015"/>
    <n v="2"/>
    <n v="820"/>
    <n v="18.100000000000001"/>
    <n v="1343.16"/>
    <s v="Cancelled"/>
    <s v="Delhi"/>
    <x v="0"/>
    <m/>
    <x v="5"/>
    <m/>
    <m/>
    <x v="4"/>
  </r>
  <r>
    <s v="ORD-00165"/>
    <d v="2024-02-27T00:00:00"/>
    <s v="CUST-0240"/>
    <s v="PROD-033"/>
    <s v="R009"/>
    <n v="7"/>
    <n v="2030"/>
    <n v="23.7"/>
    <n v="10842.23"/>
    <s v="Pending"/>
    <s v="Chennai"/>
    <x v="0"/>
    <m/>
    <x v="5"/>
    <m/>
    <m/>
    <x v="4"/>
  </r>
  <r>
    <s v="ORD-00166"/>
    <d v="2024-08-29T00:00:00"/>
    <s v="CUST-0067"/>
    <s v="PROD-016"/>
    <s v="R009"/>
    <n v="5"/>
    <n v="620"/>
    <n v="13.8"/>
    <n v="2672.2"/>
    <s v="Completed"/>
    <s v="Delhi"/>
    <x v="0"/>
    <m/>
    <x v="5"/>
    <m/>
    <m/>
    <x v="4"/>
  </r>
  <r>
    <s v="ORD-00167"/>
    <d v="2024-07-16T00:00:00"/>
    <s v="CUST-0117"/>
    <s v="PROD-022"/>
    <s v="R022"/>
    <n v="7"/>
    <n v="2270"/>
    <n v="5.5"/>
    <n v="15016.05"/>
    <s v="Completed"/>
    <s v="Delhi"/>
    <x v="0"/>
    <m/>
    <x v="5"/>
    <m/>
    <m/>
    <x v="4"/>
  </r>
  <r>
    <s v="ORD-00168"/>
    <d v="2024-06-14T00:00:00"/>
    <s v="CUST-0101"/>
    <s v="PROD-053"/>
    <s v="R016"/>
    <n v="1"/>
    <n v="470"/>
    <n v="13.7"/>
    <n v="405.61"/>
    <s v="Pending"/>
    <s v="Hyderabad"/>
    <x v="0"/>
    <m/>
    <x v="5"/>
    <m/>
    <m/>
    <x v="4"/>
  </r>
  <r>
    <s v="ORD-00169"/>
    <d v="2024-11-05T00:00:00"/>
    <s v="CUST-0184"/>
    <s v="PROD-001"/>
    <s v="R007"/>
    <n v="6"/>
    <n v="5330"/>
    <n v="17.899999999999999"/>
    <n v="26255.58"/>
    <s v="Completed"/>
    <s v="Pune"/>
    <x v="0"/>
    <m/>
    <x v="5"/>
    <m/>
    <m/>
    <x v="4"/>
  </r>
  <r>
    <s v="ORD-00170"/>
    <d v="2024-01-03T00:00:00"/>
    <s v="CUST-0087"/>
    <s v="PROD-050"/>
    <s v="R002"/>
    <n v="1"/>
    <n v="6080"/>
    <n v="25.5"/>
    <n v="4529.6000000000004"/>
    <s v="Completed"/>
    <s v="Pune"/>
    <x v="0"/>
    <m/>
    <x v="5"/>
    <m/>
    <m/>
    <x v="4"/>
  </r>
  <r>
    <s v="ORD-00171"/>
    <d v="2024-02-23T00:00:00"/>
    <s v="CUST-0261"/>
    <s v="PROD-027"/>
    <s v="R022"/>
    <n v="5"/>
    <n v="3780"/>
    <n v="28.6"/>
    <n v="13494.6"/>
    <s v="Completed"/>
    <s v="Delhi"/>
    <x v="0"/>
    <m/>
    <x v="5"/>
    <m/>
    <m/>
    <x v="4"/>
  </r>
  <r>
    <s v="ORD-00172"/>
    <d v="2024-04-09T00:00:00"/>
    <s v="CUST-0027"/>
    <s v="PROD-016"/>
    <s v="R010"/>
    <n v="5"/>
    <n v="620"/>
    <n v="6.9"/>
    <n v="2886.1"/>
    <s v="Cancelled"/>
    <s v="Hyderabad"/>
    <x v="0"/>
    <m/>
    <x v="5"/>
    <m/>
    <m/>
    <x v="4"/>
  </r>
  <r>
    <s v="ORD-00173"/>
    <d v="2024-05-07T00:00:00"/>
    <s v="CUST-0210"/>
    <s v="PROD-017"/>
    <s v="R027"/>
    <n v="8"/>
    <n v="2510"/>
    <n v="0.7"/>
    <n v="19939.439999999999"/>
    <s v="Completed"/>
    <s v="Pune"/>
    <x v="0"/>
    <m/>
    <x v="5"/>
    <m/>
    <m/>
    <x v="4"/>
  </r>
  <r>
    <s v="ORD-00174"/>
    <d v="2024-01-15T00:00:00"/>
    <s v="CUST-0163"/>
    <s v="PROD-015"/>
    <s v="R020"/>
    <n v="1"/>
    <n v="2720"/>
    <n v="13.7"/>
    <n v="2347.36"/>
    <s v="Completed"/>
    <s v="Pune"/>
    <x v="0"/>
    <m/>
    <x v="5"/>
    <m/>
    <m/>
    <x v="4"/>
  </r>
  <r>
    <s v="ORD-00175"/>
    <d v="2024-09-11T00:00:00"/>
    <s v="CUST-0059"/>
    <s v="PROD-053"/>
    <s v="R018"/>
    <n v="9"/>
    <n v="470"/>
    <n v="23.6"/>
    <n v="3231.72"/>
    <s v="Completed"/>
    <s v="Pune"/>
    <x v="0"/>
    <m/>
    <x v="5"/>
    <m/>
    <m/>
    <x v="4"/>
  </r>
  <r>
    <s v="ORD-00176"/>
    <d v="2024-12-07T00:00:00"/>
    <s v="CUST-0020"/>
    <s v="PROD-036"/>
    <s v="R018"/>
    <n v="10"/>
    <n v="3250"/>
    <n v="21"/>
    <n v="25675"/>
    <s v="Cancelled"/>
    <s v="Hyderabad"/>
    <x v="0"/>
    <m/>
    <x v="5"/>
    <m/>
    <m/>
    <x v="4"/>
  </r>
  <r>
    <s v="ORD-00177"/>
    <d v="2024-12-23T00:00:00"/>
    <s v="CUST-0048"/>
    <s v="PROD-034"/>
    <s v="R028"/>
    <n v="6"/>
    <n v="5080"/>
    <n v="16.8"/>
    <n v="25359.360000000001"/>
    <s v="Pending"/>
    <s v="Delhi"/>
    <x v="0"/>
    <m/>
    <x v="5"/>
    <m/>
    <m/>
    <x v="4"/>
  </r>
  <r>
    <s v="ORD-00178"/>
    <d v="2024-01-21T00:00:00"/>
    <s v="CUST-0172"/>
    <s v="PROD-003"/>
    <s v="R012"/>
    <n v="2"/>
    <n v="3570"/>
    <n v="6.7"/>
    <n v="6661.62"/>
    <s v="Cancelled"/>
    <s v="Pune"/>
    <x v="0"/>
    <m/>
    <x v="5"/>
    <m/>
    <m/>
    <x v="4"/>
  </r>
  <r>
    <s v="ORD-00179"/>
    <d v="2024-03-31T00:00:00"/>
    <s v="CUST-0124"/>
    <s v="PROD-013"/>
    <s v="R012"/>
    <n v="4"/>
    <n v="3640"/>
    <n v="18.399999999999999"/>
    <n v="11880.96"/>
    <s v="Completed"/>
    <s v="Pune"/>
    <x v="0"/>
    <m/>
    <x v="5"/>
    <m/>
    <m/>
    <x v="4"/>
  </r>
  <r>
    <s v="ORD-00180"/>
    <d v="2024-08-20T00:00:00"/>
    <s v="CUST-0184"/>
    <s v="PROD-026"/>
    <s v="R001"/>
    <n v="8"/>
    <n v="4070"/>
    <n v="6.6"/>
    <n v="30411.040000000001"/>
    <s v="Completed"/>
    <s v="Pune"/>
    <x v="0"/>
    <m/>
    <x v="5"/>
    <m/>
    <m/>
    <x v="4"/>
  </r>
  <r>
    <s v="ORD-00181"/>
    <d v="2024-04-10T00:00:00"/>
    <s v="CUST-0259"/>
    <s v="PROD-011"/>
    <s v="R012"/>
    <n v="6"/>
    <n v="3450"/>
    <n v="14.4"/>
    <n v="17719.2"/>
    <s v="Pending"/>
    <s v="Mumbai"/>
    <x v="0"/>
    <m/>
    <x v="5"/>
    <m/>
    <m/>
    <x v="4"/>
  </r>
  <r>
    <s v="ORD-00182"/>
    <d v="2024-05-31T00:00:00"/>
    <s v="CUST-0204"/>
    <s v="PROD-034"/>
    <s v="R029"/>
    <n v="7"/>
    <n v="5080"/>
    <n v="25.4"/>
    <n v="26527.759999999998"/>
    <s v="Pending"/>
    <s v="Hyderabad"/>
    <x v="0"/>
    <m/>
    <x v="5"/>
    <m/>
    <m/>
    <x v="4"/>
  </r>
  <r>
    <s v="ORD-00183"/>
    <d v="2024-02-11T00:00:00"/>
    <s v="CUST-0032"/>
    <s v="PROD-021"/>
    <s v="R028"/>
    <n v="10"/>
    <n v="2760"/>
    <n v="20.100000000000001"/>
    <n v="22052.400000000001"/>
    <s v="Completed"/>
    <s v="Hyderabad"/>
    <x v="0"/>
    <m/>
    <x v="5"/>
    <m/>
    <m/>
    <x v="4"/>
  </r>
  <r>
    <s v="ORD-00184"/>
    <d v="2024-06-13T00:00:00"/>
    <s v="CUST-0239"/>
    <s v="PROD-044"/>
    <s v="R016"/>
    <n v="6"/>
    <n v="1650"/>
    <n v="11.3"/>
    <n v="8781.2999999999993"/>
    <s v="Pending"/>
    <s v="Mumbai"/>
    <x v="0"/>
    <m/>
    <x v="5"/>
    <m/>
    <m/>
    <x v="4"/>
  </r>
  <r>
    <s v="ORD-00185"/>
    <d v="2024-01-04T00:00:00"/>
    <s v="CUST-0191"/>
    <s v="PROD-004"/>
    <s v="R007"/>
    <n v="9"/>
    <n v="3870"/>
    <n v="27.5"/>
    <n v="25251.75"/>
    <s v="Completed"/>
    <s v="Hyderabad"/>
    <x v="0"/>
    <m/>
    <x v="5"/>
    <m/>
    <m/>
    <x v="4"/>
  </r>
  <r>
    <s v="ORD-00186"/>
    <d v="2024-08-28T00:00:00"/>
    <s v="CUST-0284"/>
    <s v="PROD-035"/>
    <s v="R022"/>
    <n v="2"/>
    <n v="1090"/>
    <n v="18.7"/>
    <n v="1772.34"/>
    <s v="Refunded"/>
    <s v="Hyderabad"/>
    <x v="0"/>
    <m/>
    <x v="5"/>
    <m/>
    <m/>
    <x v="4"/>
  </r>
  <r>
    <s v="ORD-00187"/>
    <d v="2024-09-29T00:00:00"/>
    <s v="CUST-0274"/>
    <s v="PROD-049"/>
    <s v="R025"/>
    <n v="4"/>
    <n v="960"/>
    <n v="23.4"/>
    <n v="2941.44"/>
    <s v="Completed"/>
    <s v="Bengaluru"/>
    <x v="0"/>
    <m/>
    <x v="5"/>
    <m/>
    <m/>
    <x v="4"/>
  </r>
  <r>
    <s v="ORD-00188"/>
    <d v="2024-09-04T00:00:00"/>
    <s v="CUST-0234"/>
    <s v="PROD-043"/>
    <s v="R021"/>
    <n v="3"/>
    <n v="3350"/>
    <n v="17.899999999999999"/>
    <n v="8251.0499999999993"/>
    <s v="Completed"/>
    <s v="Bengaluru"/>
    <x v="0"/>
    <m/>
    <x v="5"/>
    <m/>
    <m/>
    <x v="4"/>
  </r>
  <r>
    <s v="ORD-00189"/>
    <d v="2024-11-09T00:00:00"/>
    <s v="CUST-0264"/>
    <s v="PROD-022"/>
    <s v="R005"/>
    <n v="4"/>
    <n v="2270"/>
    <n v="29"/>
    <n v="6446.8"/>
    <s v="Completed"/>
    <s v="Pune"/>
    <x v="0"/>
    <m/>
    <x v="5"/>
    <m/>
    <m/>
    <x v="4"/>
  </r>
  <r>
    <s v="ORD-00190"/>
    <d v="2024-06-17T00:00:00"/>
    <s v="CUST-0192"/>
    <s v="PROD-039"/>
    <s v="R023"/>
    <n v="9"/>
    <n v="4610"/>
    <n v="28.3"/>
    <n v="29748.33"/>
    <s v="Pending"/>
    <s v="Bengaluru"/>
    <x v="0"/>
    <m/>
    <x v="5"/>
    <m/>
    <m/>
    <x v="4"/>
  </r>
  <r>
    <s v="ORD-00191"/>
    <d v="2024-09-03T00:00:00"/>
    <s v="CUST-0041"/>
    <s v="PROD-012"/>
    <s v="R009"/>
    <n v="3"/>
    <n v="3160"/>
    <n v="7.3"/>
    <n v="8787.9599999999991"/>
    <s v="Completed"/>
    <s v="Bengaluru"/>
    <x v="0"/>
    <m/>
    <x v="5"/>
    <m/>
    <m/>
    <x v="4"/>
  </r>
  <r>
    <s v="ORD-00192"/>
    <d v="2024-10-08T00:00:00"/>
    <s v="CUST-0043"/>
    <s v="PROD-022"/>
    <s v="R004"/>
    <n v="8"/>
    <n v="2270"/>
    <n v="15.6"/>
    <n v="15327.04"/>
    <s v="Completed"/>
    <s v="Hyderabad"/>
    <x v="0"/>
    <m/>
    <x v="5"/>
    <m/>
    <m/>
    <x v="4"/>
  </r>
  <r>
    <s v="ORD-00193"/>
    <d v="2024-07-10T00:00:00"/>
    <s v="CUST-0147"/>
    <s v="PROD-045"/>
    <s v="R028"/>
    <n v="8"/>
    <n v="3020"/>
    <n v="16.3"/>
    <n v="20221.919999999998"/>
    <s v="Cancelled"/>
    <s v="Pune"/>
    <x v="0"/>
    <m/>
    <x v="5"/>
    <m/>
    <m/>
    <x v="4"/>
  </r>
  <r>
    <s v="ORD-00194"/>
    <d v="2024-11-21T00:00:00"/>
    <s v="CUST-0056"/>
    <s v="PROD-056"/>
    <s v="R030"/>
    <n v="7"/>
    <n v="6940"/>
    <n v="8.5"/>
    <n v="44450.7"/>
    <s v="Completed"/>
    <s v="Bengaluru"/>
    <x v="0"/>
    <m/>
    <x v="5"/>
    <m/>
    <m/>
    <x v="4"/>
  </r>
  <r>
    <s v="ORD-00195"/>
    <d v="2024-09-11T00:00:00"/>
    <s v="CUST-0059"/>
    <s v="PROD-041"/>
    <s v="R012"/>
    <n v="8"/>
    <n v="1540"/>
    <n v="21"/>
    <n v="9732.7999999999993"/>
    <s v="Completed"/>
    <s v="Pune"/>
    <x v="0"/>
    <m/>
    <x v="5"/>
    <m/>
    <m/>
    <x v="4"/>
  </r>
  <r>
    <s v="ORD-00196"/>
    <d v="2024-03-29T00:00:00"/>
    <s v="CUST-0047"/>
    <s v="PROD-019"/>
    <s v="R029"/>
    <n v="6"/>
    <n v="2480"/>
    <n v="27.9"/>
    <n v="10728.48"/>
    <s v="Completed"/>
    <s v="Pune"/>
    <x v="0"/>
    <m/>
    <x v="5"/>
    <m/>
    <m/>
    <x v="4"/>
  </r>
  <r>
    <s v="ORD-00197"/>
    <d v="2024-01-29T00:00:00"/>
    <s v="CUST-0162"/>
    <s v="PROD-060"/>
    <s v="R022"/>
    <n v="4"/>
    <n v="190"/>
    <n v="21.5"/>
    <n v="596.6"/>
    <s v="Completed"/>
    <s v="Mumbai"/>
    <x v="0"/>
    <m/>
    <x v="5"/>
    <m/>
    <m/>
    <x v="4"/>
  </r>
  <r>
    <s v="ORD-00198"/>
    <d v="2024-03-04T00:00:00"/>
    <s v="CUST-0121"/>
    <s v="PROD-055"/>
    <s v="R014"/>
    <n v="1"/>
    <n v="2860"/>
    <n v="15.3"/>
    <n v="2422.42"/>
    <s v="Completed"/>
    <s v="Delhi"/>
    <x v="0"/>
    <m/>
    <x v="5"/>
    <m/>
    <m/>
    <x v="4"/>
  </r>
  <r>
    <s v="ORD-00199"/>
    <d v="2024-02-28T00:00:00"/>
    <s v="CUST-0075"/>
    <s v="PROD-017"/>
    <s v="R015"/>
    <n v="4"/>
    <n v="2510"/>
    <n v="10.1"/>
    <n v="9025.9599999999991"/>
    <s v="Refunded"/>
    <s v="Mumbai"/>
    <x v="0"/>
    <m/>
    <x v="5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86576-132A-4267-9067-9E8BD0D69ECB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3:P43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11">
        <item x="5"/>
        <item m="1" x="6"/>
        <item m="1" x="7"/>
        <item m="1" x="8"/>
        <item m="1" x="9"/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</pivotFields>
  <rowFields count="3">
    <field x="16"/>
    <field x="13"/>
    <field x="11"/>
  </rowFields>
  <rowItems count="20">
    <i>
      <x/>
    </i>
    <i r="1">
      <x/>
    </i>
    <i r="2">
      <x/>
    </i>
    <i>
      <x v="1"/>
    </i>
    <i r="1">
      <x v="5"/>
    </i>
    <i r="2">
      <x/>
    </i>
    <i r="1">
      <x v="7"/>
    </i>
    <i r="2">
      <x/>
    </i>
    <i>
      <x v="2"/>
    </i>
    <i r="1">
      <x v="6"/>
    </i>
    <i r="2">
      <x/>
    </i>
    <i>
      <x v="3"/>
    </i>
    <i r="1">
      <x v="6"/>
    </i>
    <i r="2">
      <x/>
    </i>
    <i r="1">
      <x v="8"/>
    </i>
    <i r="2">
      <x/>
    </i>
    <i>
      <x v="4"/>
    </i>
    <i r="1">
      <x v="9"/>
    </i>
    <i r="2">
      <x/>
    </i>
    <i t="grand">
      <x/>
    </i>
  </rowItems>
  <colItems count="1">
    <i/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B5D281-8133-4251-B27F-5EAAEE9ED5B6}" name="Table3" displayName="Table3" ref="L1:S9" totalsRowShown="0" tableBorderDxfId="7">
  <autoFilter ref="L1:S9" xr:uid="{BBB5D281-8133-4251-B27F-5EAAEE9ED5B6}"/>
  <tableColumns count="8">
    <tableColumn id="1" xr3:uid="{D182075C-FA17-48DF-962E-9091DBF3F199}" name="Column1"/>
    <tableColumn id="2" xr3:uid="{AC71AE6D-6946-4123-9D3B-847C141EBB3E}" name="#DIV/0!" dataDxfId="6">
      <calculatedColumnFormula>IFERROR(INDEX(Products!$C$2:$C$61,MATCH(D2,Products!$A$2:$A$61,0)),"NA")</calculatedColumnFormula>
    </tableColumn>
    <tableColumn id="3" xr3:uid="{95D41BDC-AD43-4EEF-ADDF-B11EF4874FCC}" name="category" dataDxfId="3">
      <calculatedColumnFormula>IFERROR(INDEX(Products!$C$2:$C$61,MATCH(D2,Products!$A$2:$A$61,0)),"NA")</calculatedColumnFormula>
    </tableColumn>
    <tableColumn id="4" xr3:uid="{47EB2AB1-BD05-4E55-93C7-DCF8769B3EBA}" name="segment" dataDxfId="1">
      <calculatedColumnFormula>IFERROR(INDEX(Customers!$E$2:$E$301,MATCH(C2,Customers!$A$2:$A$301,0)),"NA")</calculatedColumnFormula>
    </tableColumn>
    <tableColumn id="5" xr3:uid="{0489EE58-C288-4BED-9F5D-215ECDA8088E}" name="age" dataDxfId="0">
      <calculatedColumnFormula>IFERROR(INDEX(Customers!$C$2:$C$301,MATCH(C2,Customers!$A$2:$A$301,0)),"NA")</calculatedColumnFormula>
    </tableColumn>
    <tableColumn id="6" xr3:uid="{F63089E8-D5EF-4F3C-8FE6-8A8AAB0A0095}" name="region" dataDxfId="4">
      <calculatedColumnFormula>IFERROR(INDEX(Sales_Reps!$C$2:$C$31,MATCH(E2,Sales_Reps!$A$2:$A$31,0)),"NA")</calculatedColumnFormula>
    </tableColumn>
    <tableColumn id="7" xr3:uid="{C86ABC8C-EB96-4D8F-8A93-6A831DBF1498}" name="unit_cost" dataDxfId="5">
      <calculatedColumnFormula>IFERROR(INDEX(Products!$D$2:$D$61,MATCH(D2,Products!$A$2:$A$61,0)),"")</calculatedColumnFormula>
    </tableColumn>
    <tableColumn id="8" xr3:uid="{67FEED5C-A318-4727-ABFD-B4B9A2AC783D}" name="month" dataDxfId="2">
      <calculatedColumnFormula>DATE(YEAR(B2),MONTH(B2),1)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7" t="s">
        <v>0</v>
      </c>
      <c r="B5" s="34"/>
      <c r="C5" s="34"/>
      <c r="D5" s="34"/>
      <c r="E5" s="34"/>
      <c r="F5" s="34"/>
    </row>
    <row r="6" spans="1:8" x14ac:dyDescent="0.3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6" t="s">
        <v>3007</v>
      </c>
      <c r="B7" s="34"/>
      <c r="C7" s="34"/>
      <c r="D7" s="34"/>
      <c r="E7" s="34"/>
      <c r="F7" s="34"/>
      <c r="G7" s="34"/>
      <c r="H7" s="34"/>
    </row>
    <row r="8" spans="1:8" x14ac:dyDescent="0.3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6"/>
      <c r="B9" s="34"/>
      <c r="C9" s="34"/>
      <c r="D9" s="34"/>
      <c r="E9" s="34"/>
      <c r="F9" s="34"/>
      <c r="G9" s="34"/>
      <c r="H9" s="34"/>
    </row>
    <row r="10" spans="1:8" x14ac:dyDescent="0.3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S2001"/>
  <sheetViews>
    <sheetView zoomScale="87" workbookViewId="0">
      <pane ySplit="1" topLeftCell="A17" activePane="bottomLeft" state="frozen"/>
      <selection pane="bottomLeft" activeCell="M1" sqref="M1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2" width="10.44140625" customWidth="1"/>
    <col min="15" max="15" width="14" bestFit="1" customWidth="1"/>
    <col min="16" max="16" width="19" bestFit="1" customWidth="1"/>
    <col min="19" max="19" width="10.33203125" bestFit="1" customWidth="1"/>
  </cols>
  <sheetData>
    <row r="1" spans="1:19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42" t="s">
        <v>82</v>
      </c>
      <c r="L1" t="s">
        <v>3026</v>
      </c>
      <c r="M1" t="s">
        <v>3032</v>
      </c>
      <c r="N1" t="s">
        <v>2780</v>
      </c>
      <c r="O1" t="s">
        <v>2504</v>
      </c>
      <c r="P1" t="s">
        <v>2502</v>
      </c>
      <c r="Q1" t="s">
        <v>2851</v>
      </c>
      <c r="R1" t="s">
        <v>2781</v>
      </c>
      <c r="S1" t="s">
        <v>3027</v>
      </c>
    </row>
    <row r="2" spans="1:19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41" t="s">
        <v>88</v>
      </c>
      <c r="M2" t="str">
        <f>IFERROR(INDEX(Products!$C$2:$C$61,MATCH(D2,Products!$A$2:$A$61,0)),"NA")</f>
        <v>Apparel</v>
      </c>
      <c r="N2" t="str">
        <f>IFERROR(INDEX(Products!$C$2:$C$61,MATCH(D2,Products!$A$2:$A$61,0)),"NA")</f>
        <v>Apparel</v>
      </c>
      <c r="O2" s="49" t="str">
        <f>IFERROR(INDEX(Customers!$E$2:$E$301,MATCH(C2,Customers!$A$2:$A$301,0)),"NA")</f>
        <v>SMB</v>
      </c>
      <c r="P2">
        <f>IFERROR(INDEX(Customers!$C$2:$C$301,MATCH(C2,Customers!$A$2:$A$301,0)),"NA")</f>
        <v>44</v>
      </c>
      <c r="Q2" t="str">
        <f>IFERROR(INDEX(Sales_Reps!$C$2:$C$31,MATCH(E2,Sales_Reps!$A$2:$A$31,0)),"NA")</f>
        <v>North</v>
      </c>
      <c r="R2">
        <f>IFERROR(INDEX(Products!$D$2:$D$61,MATCH(D2,Products!$A$2:$A$61,0)),"")</f>
        <v>2509</v>
      </c>
      <c r="S2" s="49">
        <f>DATE(YEAR(B2),MONTH(B2),1)</f>
        <v>45536</v>
      </c>
    </row>
    <row r="3" spans="1:19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M3" t="str">
        <f>IFERROR(INDEX(Products!$C$2:$C$61,MATCH(D3,Products!$A$2:$A$61,0)),"NA")</f>
        <v>Apparel</v>
      </c>
      <c r="N3" t="str">
        <f>IFERROR(INDEX(Products!$C$2:$C$61,MATCH(D3,Products!$A$2:$A$61,0)),"NA")</f>
        <v>Apparel</v>
      </c>
      <c r="O3" s="49" t="str">
        <f>IFERROR(INDEX(Customers!$E$2:$E$301,MATCH(C3,Customers!$A$2:$A$301,0)),"NA")</f>
        <v>Retail</v>
      </c>
      <c r="P3">
        <f>IFERROR(INDEX(Customers!$C$2:$C$301,MATCH(C3,Customers!$A$2:$A$301,0)),"NA")</f>
        <v>39</v>
      </c>
      <c r="Q3" t="str">
        <f>IFERROR(INDEX(Sales_Reps!$C$2:$C$31,MATCH(E3,Sales_Reps!$A$2:$A$31,0)),"NA")</f>
        <v>North</v>
      </c>
      <c r="R3">
        <f>IFERROR(INDEX(Products!$D$2:$D$61,MATCH(D3,Products!$A$2:$A$61,0)),"")</f>
        <v>391</v>
      </c>
      <c r="S3" s="49">
        <f t="shared" ref="S3:S9" si="0">DATE(YEAR(B3),MONTH(B3),1)</f>
        <v>45323</v>
      </c>
    </row>
    <row r="4" spans="1:19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M4" t="str">
        <f>IFERROR(INDEX(Products!$C$2:$C$61,MATCH(D4,Products!$A$2:$A$61,0)),"NA")</f>
        <v>Sports</v>
      </c>
      <c r="N4" t="str">
        <f>IFERROR(INDEX(Products!$C$2:$C$61,MATCH(D4,Products!$A$2:$A$61,0)),"NA")</f>
        <v>Sports</v>
      </c>
      <c r="O4" s="49" t="str">
        <f>IFERROR(INDEX(Customers!$E$2:$E$301,MATCH(C4,Customers!$A$2:$A$301,0)),"NA")</f>
        <v>Retail</v>
      </c>
      <c r="P4">
        <f>IFERROR(INDEX(Customers!$C$2:$C$301,MATCH(C4,Customers!$A$2:$A$301,0)),"NA")</f>
        <v>52</v>
      </c>
      <c r="Q4" t="str">
        <f>IFERROR(INDEX(Sales_Reps!$C$2:$C$31,MATCH(E4,Sales_Reps!$A$2:$A$31,0)),"NA")</f>
        <v>South</v>
      </c>
      <c r="R4">
        <f>IFERROR(INDEX(Products!$D$2:$D$61,MATCH(D4,Products!$A$2:$A$61,0)),"")</f>
        <v>302</v>
      </c>
      <c r="S4" s="49">
        <f t="shared" si="0"/>
        <v>45352</v>
      </c>
    </row>
    <row r="5" spans="1:19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M5" t="str">
        <f>IFERROR(INDEX(Products!$C$2:$C$61,MATCH(D5,Products!$A$2:$A$61,0)),"NA")</f>
        <v>Grocery</v>
      </c>
      <c r="N5" t="str">
        <f>IFERROR(INDEX(Products!$C$2:$C$61,MATCH(D5,Products!$A$2:$A$61,0)),"NA")</f>
        <v>Grocery</v>
      </c>
      <c r="O5" s="49" t="str">
        <f>IFERROR(INDEX(Customers!$E$2:$E$301,MATCH(C5,Customers!$A$2:$A$301,0)),"NA")</f>
        <v>Corporate</v>
      </c>
      <c r="P5">
        <f>IFERROR(INDEX(Customers!$C$2:$C$301,MATCH(C5,Customers!$A$2:$A$301,0)),"NA")</f>
        <v>46</v>
      </c>
      <c r="Q5" t="str">
        <f>IFERROR(INDEX(Sales_Reps!$C$2:$C$31,MATCH(E5,Sales_Reps!$A$2:$A$31,0)),"NA")</f>
        <v>North</v>
      </c>
      <c r="R5">
        <f>IFERROR(INDEX(Products!$D$2:$D$61,MATCH(D5,Products!$A$2:$A$61,0)),"")</f>
        <v>2214</v>
      </c>
      <c r="S5" s="49">
        <f t="shared" si="0"/>
        <v>45413</v>
      </c>
    </row>
    <row r="6" spans="1:19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M6" t="str">
        <f>IFERROR(INDEX(Products!$C$2:$C$61,MATCH(D6,Products!$A$2:$A$61,0)),"NA")</f>
        <v>Apparel</v>
      </c>
      <c r="N6" t="str">
        <f>IFERROR(INDEX(Products!$C$2:$C$61,MATCH(D6,Products!$A$2:$A$61,0)),"NA")</f>
        <v>Apparel</v>
      </c>
      <c r="O6" s="49" t="str">
        <f>IFERROR(INDEX(Customers!$E$2:$E$301,MATCH(C6,Customers!$A$2:$A$301,0)),"NA")</f>
        <v>Retail</v>
      </c>
      <c r="P6">
        <f>IFERROR(INDEX(Customers!$C$2:$C$301,MATCH(C6,Customers!$A$2:$A$301,0)),"NA")</f>
        <v>36</v>
      </c>
      <c r="Q6" t="str">
        <f>IFERROR(INDEX(Sales_Reps!$C$2:$C$31,MATCH(E6,Sales_Reps!$A$2:$A$31,0)),"NA")</f>
        <v>North</v>
      </c>
      <c r="R6">
        <f>IFERROR(INDEX(Products!$D$2:$D$61,MATCH(D6,Products!$A$2:$A$61,0)),"")</f>
        <v>1886</v>
      </c>
      <c r="S6" s="49">
        <f t="shared" si="0"/>
        <v>45597</v>
      </c>
    </row>
    <row r="7" spans="1:19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M7" t="str">
        <f>IFERROR(INDEX(Products!$C$2:$C$61,MATCH(D7,Products!$A$2:$A$61,0)),"NA")</f>
        <v>Home</v>
      </c>
      <c r="N7" t="str">
        <f>IFERROR(INDEX(Products!$C$2:$C$61,MATCH(D7,Products!$A$2:$A$61,0)),"NA")</f>
        <v>Home</v>
      </c>
      <c r="O7" s="49" t="str">
        <f>IFERROR(INDEX(Customers!$E$2:$E$301,MATCH(C7,Customers!$A$2:$A$301,0)),"NA")</f>
        <v>Retail</v>
      </c>
      <c r="P7">
        <f>IFERROR(INDEX(Customers!$C$2:$C$301,MATCH(C7,Customers!$A$2:$A$301,0)),"NA")</f>
        <v>36</v>
      </c>
      <c r="Q7" t="str">
        <f>IFERROR(INDEX(Sales_Reps!$C$2:$C$31,MATCH(E7,Sales_Reps!$A$2:$A$31,0)),"NA")</f>
        <v>West</v>
      </c>
      <c r="R7">
        <f>IFERROR(INDEX(Products!$D$2:$D$61,MATCH(D7,Products!$A$2:$A$61,0)),"")</f>
        <v>288</v>
      </c>
      <c r="S7" s="49">
        <f t="shared" si="0"/>
        <v>45383</v>
      </c>
    </row>
    <row r="8" spans="1:19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M8" t="str">
        <f>IFERROR(INDEX(Products!$C$2:$C$61,MATCH(D8,Products!$A$2:$A$61,0)),"NA")</f>
        <v>Sports</v>
      </c>
      <c r="N8" t="str">
        <f>IFERROR(INDEX(Products!$C$2:$C$61,MATCH(D8,Products!$A$2:$A$61,0)),"NA")</f>
        <v>Sports</v>
      </c>
      <c r="O8" s="49" t="str">
        <f>IFERROR(INDEX(Customers!$E$2:$E$301,MATCH(C8,Customers!$A$2:$A$301,0)),"NA")</f>
        <v>Retail</v>
      </c>
      <c r="P8">
        <f>IFERROR(INDEX(Customers!$C$2:$C$301,MATCH(C8,Customers!$A$2:$A$301,0)),"NA")</f>
        <v>27</v>
      </c>
      <c r="Q8" t="str">
        <f>IFERROR(INDEX(Sales_Reps!$C$2:$C$31,MATCH(E8,Sales_Reps!$A$2:$A$31,0)),"NA")</f>
        <v>West</v>
      </c>
      <c r="R8">
        <f>IFERROR(INDEX(Products!$D$2:$D$61,MATCH(D8,Products!$A$2:$A$61,0)),"")</f>
        <v>705</v>
      </c>
      <c r="S8" s="49">
        <f t="shared" si="0"/>
        <v>45444</v>
      </c>
    </row>
    <row r="9" spans="1:19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M9" s="47" t="str">
        <f>IFERROR(INDEX(Products!$C$2:$C$61,MATCH(D9,Products!$A$2:$A$61,0)),"NA")</f>
        <v>Electronics</v>
      </c>
      <c r="N9" s="47" t="str">
        <f>IFERROR(INDEX(Products!$C$2:$C$61,MATCH(D9,Products!$A$2:$A$61,0)),"NA")</f>
        <v>Electronics</v>
      </c>
      <c r="O9" s="49" t="str">
        <f>IFERROR(INDEX(Customers!$E$2:$E$301,MATCH(C9,Customers!$A$2:$A$301,0)),"NA")</f>
        <v>Corporate</v>
      </c>
      <c r="P9" s="47">
        <f>IFERROR(INDEX(Customers!$C$2:$C$301,MATCH(C9,Customers!$A$2:$A$301,0)),"NA")</f>
        <v>57</v>
      </c>
      <c r="Q9" s="47" t="str">
        <f>IFERROR(INDEX(Sales_Reps!$C$2:$C$31,MATCH(E9,Sales_Reps!$A$2:$A$31,0)),"NA")</f>
        <v>East</v>
      </c>
      <c r="R9" s="47">
        <f>IFERROR(INDEX(Products!$D$2:$D$61,MATCH(D9,Products!$A$2:$A$61,0)),"")</f>
        <v>861</v>
      </c>
      <c r="S9" s="49">
        <f t="shared" si="0"/>
        <v>45597</v>
      </c>
    </row>
    <row r="10" spans="1:19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9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9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9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9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9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9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6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6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6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6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6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6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6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O23" s="44" t="s">
        <v>3028</v>
      </c>
      <c r="P23" t="s">
        <v>3031</v>
      </c>
    </row>
    <row r="24" spans="1:16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O24" s="45" t="s">
        <v>3029</v>
      </c>
      <c r="P24" s="47">
        <v>2440893.3699999992</v>
      </c>
    </row>
    <row r="25" spans="1:16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O25" s="46" t="s">
        <v>3029</v>
      </c>
      <c r="P25" s="47">
        <v>2440893.3699999992</v>
      </c>
    </row>
    <row r="26" spans="1:16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O26" s="48" t="s">
        <v>3029</v>
      </c>
      <c r="P26" s="47">
        <v>2440893.3699999992</v>
      </c>
    </row>
    <row r="27" spans="1:16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O27" s="45" t="s">
        <v>2855</v>
      </c>
      <c r="P27" s="47">
        <v>31386.820000000003</v>
      </c>
    </row>
    <row r="28" spans="1:16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O28" s="46" t="s">
        <v>2795</v>
      </c>
      <c r="P28" s="47">
        <v>28301.440000000002</v>
      </c>
    </row>
    <row r="29" spans="1:16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O29" s="48" t="s">
        <v>3029</v>
      </c>
      <c r="P29" s="47">
        <v>28301.440000000002</v>
      </c>
    </row>
    <row r="30" spans="1:16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O30" s="46" t="s">
        <v>2806</v>
      </c>
      <c r="P30" s="47">
        <v>3085.38</v>
      </c>
    </row>
    <row r="31" spans="1:16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O31" s="48" t="s">
        <v>3029</v>
      </c>
      <c r="P31" s="47">
        <v>3085.38</v>
      </c>
    </row>
    <row r="32" spans="1:16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O32" s="45" t="s">
        <v>2862</v>
      </c>
      <c r="P32" s="47">
        <v>3635.92</v>
      </c>
    </row>
    <row r="33" spans="1:16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O33" s="46" t="s">
        <v>2839</v>
      </c>
      <c r="P33" s="47">
        <v>3635.92</v>
      </c>
    </row>
    <row r="34" spans="1:16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O34" s="48" t="s">
        <v>3029</v>
      </c>
      <c r="P34" s="47">
        <v>3635.92</v>
      </c>
    </row>
    <row r="35" spans="1:16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O35" s="45" t="s">
        <v>2879</v>
      </c>
      <c r="P35" s="47">
        <v>3763.76</v>
      </c>
    </row>
    <row r="36" spans="1:16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O36" s="46" t="s">
        <v>2839</v>
      </c>
      <c r="P36" s="47">
        <v>2712.96</v>
      </c>
    </row>
    <row r="37" spans="1:16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O37" s="48" t="s">
        <v>3029</v>
      </c>
      <c r="P37" s="47">
        <v>2712.96</v>
      </c>
    </row>
    <row r="38" spans="1:16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O38" s="46" t="s">
        <v>2817</v>
      </c>
      <c r="P38" s="47">
        <v>1050.8</v>
      </c>
    </row>
    <row r="39" spans="1:16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O39" s="48" t="s">
        <v>3029</v>
      </c>
      <c r="P39" s="47">
        <v>1050.8</v>
      </c>
    </row>
    <row r="40" spans="1:16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O40" s="45" t="s">
        <v>2871</v>
      </c>
      <c r="P40" s="47">
        <v>11165.44</v>
      </c>
    </row>
    <row r="41" spans="1:16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O41" s="46" t="s">
        <v>2784</v>
      </c>
      <c r="P41" s="47">
        <v>11165.44</v>
      </c>
    </row>
    <row r="42" spans="1:16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O42" s="48" t="s">
        <v>3029</v>
      </c>
      <c r="P42" s="47">
        <v>11165.44</v>
      </c>
    </row>
    <row r="43" spans="1:16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O43" s="45" t="s">
        <v>3030</v>
      </c>
      <c r="P43" s="47">
        <v>2490845.3099999987</v>
      </c>
    </row>
    <row r="44" spans="1:16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6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6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6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6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honeticPr fontId="15" type="noConversion"/>
  <pageMargins left="0.75" right="0.75" top="1" bottom="1" header="0.5" footer="0.5"/>
  <pageSetup paperSize="9" fitToHeight="0" orientation="landscape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5" activePane="bottomLeft" state="frozen"/>
      <selection pane="bottomLeft" activeCell="L12" sqref="L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0" t="s">
        <v>3021</v>
      </c>
      <c r="B1" s="39"/>
      <c r="C1" s="39"/>
      <c r="D1" s="39"/>
      <c r="E1" s="39"/>
      <c r="F1" s="39"/>
    </row>
    <row r="2" spans="1:6" x14ac:dyDescent="0.3">
      <c r="A2" s="38" t="s">
        <v>2898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INDEX(Orders!C:C,MATCH("ORD-00234",Orders!A:A,0))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INDEX(Products!B:B,MATCH(INDEX(Orders!D:D,MATCH("ORD-00456",Orders!A:A,0)),Products!A:A,0))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INDEX(Sales_Reps!B:B,MATCH(INDEX(Orders!E:E,MATCH("ORD-00987",Orders!A:A,0)),Sales_Reps!A:A,0))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INDEX(Targets!$B$2:$M$31,MATCH("R012",Targets!$A$2:$A$31,0),MATCH("Mar-24",Targets!$B$1:$M$1,0))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INDEX(Products!C:C,MATCH(INDEX(Orders!D:D,MATCH("ORD-01500",Orders!A:A,0)),Products!A:A,0))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VLOOKUP(INDEX(Orders!H:H,MATCH("ORD-00789",Orders!A:A,0)),$B$18:$C$21,2,TRUE)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t="str">
        <f>INDEX(Sales_Reps!B:B,MATCH(INDEX(Orders!E:E,MATCH("ORD-01234",Orders!A:A,0)),Sales_Reps!A:A,0))&amp;" ("&amp;INDEX(Sales_Reps!C:C,MATCH(INDEX(Orders!E:E,MATCH("ORD-01234",Orders!A:A,0)),Sales_Reps!A:A,0))&amp;")"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t="str">
        <f>INDEX(Sales_Reps!B:B,MATCH(INDEX(Sales_Reps!E:E,MATCH("R017",Sales_Reps!A:A,0)),Sales_Reps!A:A,0))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opLeftCell="D1"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3022</v>
      </c>
      <c r="B1" s="39"/>
      <c r="C1" s="39"/>
      <c r="D1" s="39"/>
      <c r="E1" s="39"/>
      <c r="F1" s="39"/>
    </row>
    <row r="2" spans="1:6" x14ac:dyDescent="0.3">
      <c r="A2" s="38" t="s">
        <v>2935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 cm="1">
        <f t="array" ref="E5">SUMPRODUCT((COUNTIF(Orders!$A$2:$A$2001,Orders!$A$2:$A$2001)&gt;1)/COUNTIF(Orders!$A$2:$A$2001,Orders!$A$2:$A$2001))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SUMPRODUCT(1/COUNTIF(Customers!D2:D301,Customers!D2:D301))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SUMPRODUCT(--ISNA(MATCH(Orders!C2:C2001,Customers!A2:A301,0)))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SUMPRODUCT(--(INDEX(Products!F2:F61,MATCH(Orders!D2:D2001,Products!A2:A61,0))=FALSE))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topLeftCell="B1" workbookViewId="0">
      <pane ySplit="4" topLeftCell="A5" activePane="bottomLeft" state="frozen"/>
      <selection pane="bottomLeft" activeCell="B15" sqref="B15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3023</v>
      </c>
      <c r="B1" s="34"/>
      <c r="C1" s="34"/>
      <c r="D1" s="34"/>
      <c r="E1" s="34"/>
      <c r="F1" s="34"/>
    </row>
    <row r="2" spans="1:6" x14ac:dyDescent="0.3">
      <c r="A2" s="38" t="s">
        <v>2952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43">
        <f>SUMIFS(Orders!I2:I2001,Orders!B2:B2001,"&gt;="&amp;DATE(2024,7,1),Orders!B2:B2001,"&lt;="&amp;DATE(2024,9,30),Orders!K2:K2001,"Mumbai")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COUNTIFS(Orders!H2:H2001,"&gt;15",Orders!J2:J2001,"Completed")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43" cm="1">
        <f t="array" ref="E7">SUMPRODUCT(LARGE(SUMIF(Orders!E2:E2001,Sales_Reps!A2:A31,Orders!I2:I2001),{1,2,3}))</f>
        <v>3342678.55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43" cm="1">
        <f t="array" ref="E8">SUMPRODUCT(LARGE(SUMIF(Orders!E2:E2001,Sales_Reps!A2:A31,Orders!I2:I2001),{1,2,3}))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SUMIFS(Orders!I2:I2001,Orders!E2:E2001,"R015",Orders!B2:B2001,"&gt;="&amp;DATE(2024,11,1),Orders!B2:B2001,"&lt;="&amp;DATE(2024,11,30))/INDEX(Targets!B2:M31,MATCH("R015",Targets!A2:A31,0),MATCH("Nov-24",Targets!B1:M1,0))&lt;0.8,"Below",IF(SUMIFS(Orders!I2:I2001,Orders!E2:E2001,"R015",Orders!B2:B2001,"&gt;="&amp;DATE(2024,11,1),Orders!B2:B2001,"&lt;="&amp;DATE(2024,11,30))/INDEX(Targets!B2:M31,MATCH("R015",Targets!A2:A31,0),MATCH("Nov-24",Targets!B1:M1,0))&lt;=1.2,"On Track","Exceeds"))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43" cm="1">
        <f t="array" ref="E10">SUMPRODUCT(SUMIF(Orders!C2:C2001,Customers!A2:A301,Orders!I2:I2001)*(Customers!E2:E301="Corporate")*(Customers!C2:C301&gt;=30)*(Customers!C2:C301&lt;=40))</f>
        <v>982568.39999999991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D1" workbookViewId="0">
      <pane ySplit="4" topLeftCell="A6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3024</v>
      </c>
      <c r="B1" s="34"/>
      <c r="C1" s="34"/>
      <c r="D1" s="34"/>
      <c r="E1" s="34"/>
      <c r="F1" s="34"/>
    </row>
    <row r="2" spans="1:6" x14ac:dyDescent="0.3">
      <c r="A2" s="33" t="s">
        <v>2971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50" cm="1">
        <f t="array" ref="E5">SUMPRODUCT(Orders!$I$2:$I$2001*(COUNTIFS(Sales_Reps!$A$2:$A$31,Orders!$E$2:$E$2001,Sales_Reps!$C$2:$C$31,"South")&gt;0)*(COUNTIFS(Products!$A$2:$A$61,Orders!$D$2:$D$2001,Products!$C$2:$C$61,"Electronics")&gt;0))</f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50" cm="1">
        <f t="array" ref="E6">SUMPRODUCT(MAX(SUMIFS(Orders!$I$2:$I$2001,Orders!$E$2:$E$2001,Sales_Reps!$A$2:$A$31,Orders!$B$2:$B$2001,"&gt;="&amp;DATE(2024,COLUMN($A$1:$L$1),1),Orders!$B$2:$B$2001,"&lt;"&amp;DATE(2024,COLUMN($A$1:$L$1)+1,1))))</f>
        <v>216421.52000000002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52" cm="1">
        <f t="array" ref="E7">SUMPRODUCT(Orders!$I$2:$I$2001*(COUNTIFS(Sales_Reps!$A$2:$A$31,Orders!$E$2:$E$2001,Sales_Reps!$C$2:$C$31,"North")&gt;0)*(COUNTIFS(Products!$A$2:$A$61,Orders!$D$2:$D$2001,Products!$C$2:$C$61,"Apparel")&gt;0))/SUMPRODUCT(Orders!$I$2:$I$2001*(COUNTIFS(Sales_Reps!$A$2:$A$31,Orders!$E$2:$E$2001,Sales_Reps!$C$2:$C$31,"North")&gt;0))</f>
        <v>0.14023150471988341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50">
        <f>SUMIFS(Orders!$I$2:$I$2001,Orders!$B$2:$B$2001,"&gt;="&amp;DATE(2024,10,1),Orders!$B$2:$B$2001,"&lt;="&amp;DATE(2024,12,31))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51" cm="1">
        <f t="array" ref="E9">SUMPRODUCT((TRIM(Orders!$K$2:$K$2001)="Delhi")*(Orders!$G$2:$G$2001-SUMIF(Products!$A$2:$A$61,Orders!$D$2:$D$2001,Products!$D$2:$D$61))/Orders!$G$2:$G$2001)/SUMPRODUCT(--(TRIM(Orders!$K$2:$K$2001)="Delhi"))</f>
        <v>0.44903864537816207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topLeftCell="B1" zoomScale="90"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3025</v>
      </c>
      <c r="B1" s="34"/>
      <c r="C1" s="34"/>
      <c r="D1" s="34"/>
      <c r="E1" s="34"/>
      <c r="F1" s="34"/>
    </row>
    <row r="2" spans="1:6" x14ac:dyDescent="0.3">
      <c r="A2" s="33" t="s">
        <v>2988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 cm="1">
        <f t="array" ref="E5">INDEX(Sales_Reps!$B$2:$B$31,SUMPRODUCT((SUMIF(Orders!$E$2:$E$2001,Sales_Reps!$A$2:$A$31,Orders!$I$2:$I$2001)=LARGE(SUMIF(Orders!$E$2:$E$2001,Sales_Reps!$A$2:$A$31,Orders!$I$2:$I$2001),7))*(ROW(Sales_Reps!$A$2:$A$31)-1)))</f>
        <v>Amit Singh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50">
        <f>SUMIFS(Orders!$I$2:$I$2001,Orders!$B$2:$B$2001,"&lt;="&amp;DATE(2024,8,31))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tr" cm="1">
        <f t="array" ref="E7">INDEX(Products!$B$2:$B$61,MATCH(LARGE(MMULT(TRANSPOSE(--(Sales_Reps!$C$2:$C$31="West")),SUMIFS(Orders!$I$2:$I$2001,Orders!$D$2:$D$2001,TRANSPOSE(Products!$A$2:$A$61),Orders!$E$2:$E$2001,Sales_Reps!$A$2:$A$31)),2),MMULT(TRANSPOSE(--(Sales_Reps!$C$2:$C$31="West")),SUMIFS(Orders!$I$2:$I$2001,Orders!$D$2:$D$2001,TRANSPOSE(Products!$A$2:$A$61),Orders!$E$2:$E$2001,Sales_Reps!$A$2:$A$31)),0))</f>
        <v>Smart Watch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 cm="1">
        <f t="array" ref="E8">_xlfn.TEXTJOIN(" | ",TRUE,INDEX(Sales_Reps!$B$2:$B$31,MATCH(LARGE(SUMIF(Orders!$E$2:$E$2001,Sales_Reps!$A$2:$A$31,Orders!$I$2:$I$2001),{1,2,3,4,5}),SUMIF(Orders!$E$2:$E$2001,Sales_Reps!$A$2:$A$31,Orders!$I$2:$I$2001),0)))</f>
        <v>Neha Desai | Shalini Patel | Deepak Shah | Nisha Menon | Arun Iyer</v>
      </c>
      <c r="F8" s="21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50" cm="1">
        <f t="array" ref="E9">SUMPRODUCT(MAX(Orders!$I$2:$I$2001*(TRIM(Orders!$K$2:$K$2001)="Bengaluru")*(COUNTIFS(Products!$A$2:$A$61,Orders!$D$2:$D$2001,Products!$C$2:$C$61,"Grocery")&gt;0)))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sridurgavarshini805@outlook.com</cp:lastModifiedBy>
  <dcterms:created xsi:type="dcterms:W3CDTF">2026-08-08T11:39:42Z</dcterms:created>
  <dcterms:modified xsi:type="dcterms:W3CDTF">2026-10-24T19:03:36Z</dcterms:modified>
</cp:coreProperties>
</file>